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yah\Downloads\files (1)\"/>
    </mc:Choice>
  </mc:AlternateContent>
  <xr:revisionPtr revIDLastSave="0" documentId="13_ncr:1_{FDE991AB-7C67-46F0-A74B-27DE6BCE1421}" xr6:coauthVersionLast="47" xr6:coauthVersionMax="47" xr10:uidLastSave="{00000000-0000-0000-0000-000000000000}"/>
  <bookViews>
    <workbookView xWindow="-28920" yWindow="-120" windowWidth="29040" windowHeight="15720" tabRatio="500" activeTab="1" xr2:uid="{00000000-000D-0000-FFFF-FFFF00000000}"/>
  </bookViews>
  <sheets>
    <sheet name="Screens" sheetId="1" r:id="rId1"/>
    <sheet name="KPIs" sheetId="2" r:id="rId2"/>
    <sheet name="Funnel" sheetId="3" r:id="rId3"/>
    <sheet name="StateMap" sheetId="4" r:id="rId4"/>
    <sheet name="Alerts" sheetId="5" r:id="rId5"/>
    <sheet name="Segments" sheetId="6" r:id="rId6"/>
    <sheet name="imSME_Funnel" sheetId="7" r:id="rId7"/>
    <sheet name="Benchmarks" sheetId="8" r:id="rId8"/>
    <sheet name="PFI" sheetId="9" r:id="rId9"/>
    <sheet name="Governance" sheetId="10" r:id="rId10"/>
    <sheet name="Exceptions" sheetId="11" r:id="rId11"/>
    <sheet name="Disclosure" sheetId="12" r:id="rId12"/>
    <sheet name="OwnOps" sheetId="13" r:id="rId13"/>
    <sheet name="ReadMe"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3" l="1"/>
  <c r="C5" i="3"/>
  <c r="C4" i="3"/>
  <c r="C3" i="3"/>
</calcChain>
</file>

<file path=xl/sharedStrings.xml><?xml version="1.0" encoding="utf-8"?>
<sst xmlns="http://schemas.openxmlformats.org/spreadsheetml/2006/main" count="583" uniqueCount="369">
  <si>
    <t>id</t>
  </si>
  <si>
    <t>Menu label</t>
  </si>
  <si>
    <t>Page title</t>
  </si>
  <si>
    <t>Description</t>
  </si>
  <si>
    <t>Performance lens</t>
  </si>
  <si>
    <t>Default filter</t>
  </si>
  <si>
    <t>cockpit</t>
  </si>
  <si>
    <t>Board Cockpit</t>
  </si>
  <si>
    <t>Chairman / Board Sustainable MSME Impact &amp; Guarantee Intelligence Cockpit</t>
  </si>
  <si>
    <t>One-screen executive view: how much financing CGC is enabling, whether underserved MSMEs are reached, how much impact is created, whether the guarantee book stays financially sustainable, and which exceptions need Board attention.</t>
  </si>
  <si>
    <t>Performance lens: showing every hero card and panel against target, % of target, change vs YTD 2025 and RAG status.</t>
  </si>
  <si>
    <t>inclusion</t>
  </si>
  <si>
    <t>Inclusion &amp; Additionality</t>
  </si>
  <si>
    <t>MSME Financial Inclusion &amp; Additionality</t>
  </si>
  <si>
    <t>Evidence that CGC is reaching MSMEs the market would not finance on its own — constrained, collateral-short, first-time and underserved borrowers — and that they graduate towards independent bankability.</t>
  </si>
  <si>
    <t>Performance lens: showing achievement against target, % of target, change vs YTD 2025 and RAG status.</t>
  </si>
  <si>
    <t>Kelantan</t>
  </si>
  <si>
    <t>esg</t>
  </si>
  <si>
    <t>ESG-Linked Portfolio</t>
  </si>
  <si>
    <t>ESG-linked guarantee volumes against public targets.</t>
  </si>
  <si>
    <t>Performance lens: showing achievement against target.</t>
  </si>
  <si>
    <t>ccpt</t>
  </si>
  <si>
    <t>CCPT &amp; Climate Risk</t>
  </si>
  <si>
    <t>CCPT, Climate Risk &amp; Transition Monitor</t>
  </si>
  <si>
    <t>BNM CCPT classification of the guarantee book, the quality of the evidence behind it, and the physical and transition risk carried by MSME exposures. Assessment coverage is always shown so missing data is never read as low risk.</t>
  </si>
  <si>
    <t>Performance lens: showing CCPT assessment coverage against target.</t>
  </si>
  <si>
    <t>impact</t>
  </si>
  <si>
    <t>Development Impact</t>
  </si>
  <si>
    <t>Socio-Economic &amp; Development Impact</t>
  </si>
  <si>
    <t>What guaranteed financing and developmental programmes produce in the real economy: jobs, value added, growth, survival, graduation and capability uplift — each with its evidence basis exposed.</t>
  </si>
  <si>
    <t>pfi</t>
  </si>
  <si>
    <t>PFI Intelligence</t>
  </si>
  <si>
    <t>PFI Partnership &amp; Guarantee Performance Intelligence</t>
  </si>
  <si>
    <t>How each participating financial institution converts CGC allocation into financing, reach and additionality — assessed against contract targets and peer ranges, never as a league table.</t>
  </si>
  <si>
    <t>Performance lens: showing utilisation against contract target per PFI, as peer ranges — never rankings.</t>
  </si>
  <si>
    <t>imsme</t>
  </si>
  <si>
    <t>imSME &amp; Experience</t>
  </si>
  <si>
    <t>Digital Inclusion, imSME &amp; Customer Experience</t>
  </si>
  <si>
    <t>Whether the digital marketplace converts MSME demand into financing, and whether service performance holds against CGC's published charter benchmarks.</t>
  </si>
  <si>
    <t>gov</t>
  </si>
  <si>
    <t>Governance &amp; Risk</t>
  </si>
  <si>
    <t>Governance, Risk, Financial Sustainability &amp; Board Oversight</t>
  </si>
  <si>
    <t>Whether the guarantee mandate is being delivered within appetite, within budget and within control — capital and claims performance beside conduct, compliance, resilience and Board follow-through.</t>
  </si>
  <si>
    <t>people</t>
  </si>
  <si>
    <t>People &amp; Disclosure</t>
  </si>
  <si>
    <t>People, Own Operations, ESG Data &amp; Disclosure Readiness</t>
  </si>
  <si>
    <t>CGC's own workforce, operational footprint and — most consequentially for the Board — whether the sustainability data behind every other screen is complete, current and assurance-ready under the NSRF.</t>
  </si>
  <si>
    <t>alerts</t>
  </si>
  <si>
    <t>All alerts</t>
  </si>
  <si>
    <t>Every open exception requiring Board or management attention.</t>
  </si>
  <si>
    <t>Screen</t>
  </si>
  <si>
    <t>Indicator</t>
  </si>
  <si>
    <t>Value</t>
  </si>
  <si>
    <t>Delta</t>
  </si>
  <si>
    <t>Direction</t>
  </si>
  <si>
    <t>RAG status (ok/watch/off/none)</t>
  </si>
  <si>
    <t>Tags (|)</t>
  </si>
  <si>
    <t>Footnote</t>
  </si>
  <si>
    <t>Sparkline (1/0)</t>
  </si>
  <si>
    <t>Progress</t>
  </si>
  <si>
    <t>Financing Enabled by CGC Guarantees</t>
  </si>
  <si>
    <t>+8.6% vs YTD 2025</t>
  </si>
  <si>
    <t>up</t>
  </si>
  <si>
    <t>ok</t>
  </si>
  <si>
    <t>73% OF TARGET|ILLUSTRATIVE TARGET|DEMO DATA</t>
  </si>
  <si>
    <t>Approved RM 5.42bn · availed RM 4.11bn · outstanding RM 3.38bn</t>
  </si>
  <si>
    <t>5.42 / target 7.4</t>
  </si>
  <si>
    <t>MSMEs Supported YTD</t>
  </si>
  <si>
    <t>18,420</t>
  </si>
  <si>
    <t>+11.4% vs YTD 2025</t>
  </si>
  <si>
    <t>none</t>
  </si>
  <si>
    <t>TREND ONLY|TARGET NOT SET|DEMO DATA</t>
  </si>
  <si>
    <t>34% new-to-CGC · rolling 12M 22,860</t>
  </si>
  <si>
    <t>ESG-Linked Guarantees</t>
  </si>
  <si>
    <t>RM 1.46 bn</t>
  </si>
  <si>
    <t>+RM 260m YTD</t>
  </si>
  <si>
    <t>146% OF TARGET|VERIFIED PUBLIC TARGET|DEMO DATA</t>
  </si>
  <si>
    <t>14.8% of guarantee portfolio · prior roadmap target RM1bn — reported RM1.2bn (Aug 2026)</t>
  </si>
  <si>
    <t>1.46 / target 1</t>
  </si>
  <si>
    <t>Jobs Supported</t>
  </si>
  <si>
    <t>214,800</t>
  </si>
  <si>
    <t>+6.9% vs YTD 2025</t>
  </si>
  <si>
    <t>Evidence confidence: medium (58% PFI-reported)</t>
  </si>
  <si>
    <t>Guarantee Leverage Ratio</t>
  </si>
  <si>
    <t>1.62x</t>
  </si>
  <si>
    <t>+0.07x vs YTD 2025</t>
  </si>
  <si>
    <t>PERFORMANCE VS TARGET|ILLUSTRATIVE TARGET|DEMO DATA</t>
  </si>
  <si>
    <t>Financing enabled RM 15.97bn / exposure RM 9.86bn (cumulative)</t>
  </si>
  <si>
    <t>CGC Group 2030 Strategic KPI Achievement</t>
  </si>
  <si>
    <t>68%</t>
  </si>
  <si>
    <t>+5 pts QoQ</t>
  </si>
  <si>
    <t>9 strategic priorities · 4 on track, 3 watch, 2 at risk</t>
  </si>
  <si>
    <t>14.8% of guarantee portfolio</t>
  </si>
  <si>
    <t>MSME Applications / Cases Assessed</t>
  </si>
  <si>
    <t>965</t>
  </si>
  <si>
    <t>+9.1% vs YTD 2025</t>
  </si>
  <si>
    <t>Financing-Constrained MSMEs Identified</t>
  </si>
  <si>
    <t>630</t>
  </si>
  <si>
    <t>— 65% of assessed</t>
  </si>
  <si>
    <t>flat</t>
  </si>
  <si>
    <t>CGC-Backed Approval Conversion</t>
  </si>
  <si>
    <t>61.3%</t>
  </si>
  <si>
    <t>+1.6 pts vs YTD 2025</t>
  </si>
  <si>
    <t>Illustrative control threshold 55%</t>
  </si>
  <si>
    <t>First-Time Formal Finance Recipients</t>
  </si>
  <si>
    <t>143</t>
  </si>
  <si>
    <t>+12.4% vs YTD 2025</t>
  </si>
  <si>
    <t>Previously Declined / Unserved MSMEs Enabled</t>
  </si>
  <si>
    <t>81</t>
  </si>
  <si>
    <t>+7.8% vs YTD 2025</t>
  </si>
  <si>
    <t>Collateral-Constrained MSMEs Supported</t>
  </si>
  <si>
    <t>274</t>
  </si>
  <si>
    <t>+5.2% vs YTD 2025</t>
  </si>
  <si>
    <t>Unsecured / Low-Collateral Financing Enabled</t>
  </si>
  <si>
    <t>RM 0.09 bn</t>
  </si>
  <si>
    <t>+RM 310m vs YTD 2025</t>
  </si>
  <si>
    <t>Microenterprise Reach</t>
  </si>
  <si>
    <t>209</t>
  </si>
  <si>
    <t>+10.2% vs YTD 2025</t>
  </si>
  <si>
    <t>CCPT Assessment Coverage</t>
  </si>
  <si>
    <t>74.9%</t>
  </si>
  <si>
    <t>+8.1 pts QoQ</t>
  </si>
  <si>
    <t>watch</t>
  </si>
  <si>
    <t>83% OF TARGET|ILLUSTRATIVE TARGET|DEMO DATA</t>
  </si>
  <si>
    <t>% of guarantee exposure CCPT-assessed · illustrative threshold 90%</t>
  </si>
  <si>
    <t>74.94 / target 90</t>
  </si>
  <si>
    <t>Climate Supporting Exposure</t>
  </si>
  <si>
    <t>RM 0.06 bn</t>
  </si>
  <si>
    <t>+3.4 pts vs YTD 2025</t>
  </si>
  <si>
    <t>Transitioning Exposure</t>
  </si>
  <si>
    <t>RM 0.13 bn</t>
  </si>
  <si>
    <t>+1.1 pts vs YTD 2025</t>
  </si>
  <si>
    <t>Watchlist Exposure</t>
  </si>
  <si>
    <t>RM 0.04 bn</t>
  </si>
  <si>
    <t>−0.9 pts vs YTD 2025</t>
  </si>
  <si>
    <t>down</t>
  </si>
  <si>
    <t>GP1 — Climate Mitigation Assessment</t>
  </si>
  <si>
    <t>68% complete</t>
  </si>
  <si>
    <t>+7 pts QoQ</t>
  </si>
  <si>
    <t>68% OF TARGET|ILLUSTRATIVE TARGET|DEMO DATA</t>
  </si>
  <si>
    <t>Illustrative completion threshold 90%</t>
  </si>
  <si>
    <t>GP2 — Climate Adaptation Assessment</t>
  </si>
  <si>
    <t>62% complete</t>
  </si>
  <si>
    <t>GP3 — No Significant Harm Assessment</t>
  </si>
  <si>
    <t>71% complete</t>
  </si>
  <si>
    <t>+4 pts QoQ</t>
  </si>
  <si>
    <t>Illustrative completion threshold 95%</t>
  </si>
  <si>
    <t>GP4 — Remedial Measures to Transition</t>
  </si>
  <si>
    <t>47% complete</t>
  </si>
  <si>
    <t>+3 pts QoQ</t>
  </si>
  <si>
    <t>off</t>
  </si>
  <si>
    <t>55% OF TARGET|ILLUSTRATIVE TARGET|DEMO DATA</t>
  </si>
  <si>
    <t>Illustrative completion threshold 85%</t>
  </si>
  <si>
    <t>Transition Plan Coverage</t>
  </si>
  <si>
    <t>52%</t>
  </si>
  <si>
    <t>+9 pts QoQ</t>
  </si>
  <si>
    <t>Overdue Transition Actions</t>
  </si>
  <si>
    <t>1 overdue</t>
  </si>
  <si>
    <t>+6 vs YTD 2025</t>
  </si>
  <si>
    <t>Illustrative: zero actions overdue beyond 90 days</t>
  </si>
  <si>
    <t>Physical Climate-Risk Exposure</t>
  </si>
  <si>
    <t>RM 0.08 bn</t>
  </si>
  <si>
    <t>+RM 120m vs YTD 2025</t>
  </si>
  <si>
    <t>TREND ONLY|TARGET NOT SET|DEMO DATA|MODEL ESTIMATE</t>
  </si>
  <si>
    <t>Flood-Exposed MSMEs</t>
  </si>
  <si>
    <t>133 · RM 0.04 bn</t>
  </si>
  <si>
    <t>+3.1% vs YTD 2025</t>
  </si>
  <si>
    <t>Transition-Risk / Carbon-Sensitive Exposure</t>
  </si>
  <si>
    <t>Climate-Related ECL / Risk Adjustment</t>
  </si>
  <si>
    <t>RM 2 m</t>
  </si>
  <si>
    <t>Climate Scenario Stress Loss</t>
  </si>
  <si>
    <t>RM 10 m</t>
  </si>
  <si>
    <t>Revenue Growth of Supported MSMEs</t>
  </si>
  <si>
    <t>Median +11.9%</t>
  </si>
  <si>
    <t>Export Growth / New Exporters</t>
  </si>
  <si>
    <t>11 new exporters</t>
  </si>
  <si>
    <t>+62 vs YTD 2025</t>
  </si>
  <si>
    <t>Productivity Improvement</t>
  </si>
  <si>
    <t>Index 111.6</t>
  </si>
  <si>
    <t>Business Survival Rate</t>
  </si>
  <si>
    <t>95.1% at 24 months</t>
  </si>
  <si>
    <t>+0.8 pts vs YTD 2025</t>
  </si>
  <si>
    <t>Micro-to-Small Graduation</t>
  </si>
  <si>
    <t>8.6%</t>
  </si>
  <si>
    <t>+0.7 pts vs YTD 2025</t>
  </si>
  <si>
    <t>Small-to-Medium Graduation</t>
  </si>
  <si>
    <t>2.7%</t>
  </si>
  <si>
    <t>+0.2 pts vs YTD 2025</t>
  </si>
  <si>
    <t>Digital Capability Uplift</t>
  </si>
  <si>
    <t>+19 pts maturity</t>
  </si>
  <si>
    <t>+18 pts post-programme</t>
  </si>
  <si>
    <t>Developmental Programme Participants</t>
  </si>
  <si>
    <t>289</t>
  </si>
  <si>
    <t>+14% vs YTD 2025</t>
  </si>
  <si>
    <t>TREND ONLY|HISTORICAL BASELINE|DEMO DATA</t>
  </si>
  <si>
    <t>Developmental Programme Completion</t>
  </si>
  <si>
    <t>40.3%</t>
  </si>
  <si>
    <t>Post-Programme Financing Access</t>
  </si>
  <si>
    <t>—</t>
  </si>
  <si>
    <t>TPUB-i Development Impact</t>
  </si>
  <si>
    <t>RM 6 m · 46 MSMEs</t>
  </si>
  <si>
    <t>PFI Programme Allocation</t>
  </si>
  <si>
    <t>RM 0.4 bn</t>
  </si>
  <si>
    <t>+RM 1.6bn vs YTD 2025</t>
  </si>
  <si>
    <t>PFI Utilisation Rate</t>
  </si>
  <si>
    <t>66.9%</t>
  </si>
  <si>
    <t>+4.2 pts vs YTD 2025</t>
  </si>
  <si>
    <t>Financing Enabled by PFI</t>
  </si>
  <si>
    <t>RM 0.18 bn</t>
  </si>
  <si>
    <t>MSMEs Supported by PFI</t>
  </si>
  <si>
    <t>431</t>
  </si>
  <si>
    <t>Average Guarantee Coverage</t>
  </si>
  <si>
    <t>68.3%</t>
  </si>
  <si>
    <t>+1.2 pts vs YTD 2025</t>
  </si>
  <si>
    <t>Approval / Turnaround Time</t>
  </si>
  <si>
    <t>Median 3.9 days</t>
  </si>
  <si>
    <t>−0.6 days vs YTD 2025</t>
  </si>
  <si>
    <t>PFI Approval Conversion</t>
  </si>
  <si>
    <t>ESG-Linked Financing by PFI</t>
  </si>
  <si>
    <t>RM 0.05 bn</t>
  </si>
  <si>
    <t>+21.6% vs YTD 2025</t>
  </si>
  <si>
    <t>Stage</t>
  </si>
  <si>
    <t>Count</t>
  </si>
  <si>
    <t>% of previous stage (calc)</t>
  </si>
  <si>
    <t>Sub-label</t>
  </si>
  <si>
    <t>Applications assessed</t>
  </si>
  <si>
    <t>n/a</t>
  </si>
  <si>
    <t>All origination channels</t>
  </si>
  <si>
    <t>Financing-constrained identified</t>
  </si>
  <si>
    <t>of assessed</t>
  </si>
  <si>
    <t>CGC-supported</t>
  </si>
  <si>
    <t>of constrained</t>
  </si>
  <si>
    <t>Financed</t>
  </si>
  <si>
    <t>of supported</t>
  </si>
  <si>
    <t>Assessed as additional</t>
  </si>
  <si>
    <t>additionality rate</t>
  </si>
  <si>
    <t>State code</t>
  </si>
  <si>
    <t>MSMEs supported</t>
  </si>
  <si>
    <t>PLS</t>
  </si>
  <si>
    <t>KDH</t>
  </si>
  <si>
    <t>KTN</t>
  </si>
  <si>
    <t>TRG</t>
  </si>
  <si>
    <t>LBN</t>
  </si>
  <si>
    <t>SBH</t>
  </si>
  <si>
    <t>PNG</t>
  </si>
  <si>
    <t>PRK</t>
  </si>
  <si>
    <t>PHG</t>
  </si>
  <si>
    <t>SWK</t>
  </si>
  <si>
    <t>SGR</t>
  </si>
  <si>
    <t>KUL</t>
  </si>
  <si>
    <t>PJY</t>
  </si>
  <si>
    <t>NSN</t>
  </si>
  <si>
    <t>MLK</t>
  </si>
  <si>
    <t>JHR</t>
  </si>
  <si>
    <t>Title</t>
  </si>
  <si>
    <t>Owner</t>
  </si>
  <si>
    <t>Due</t>
  </si>
  <si>
    <t>Severity</t>
  </si>
  <si>
    <t>GP4 remedial measures lag Watchlist exposure</t>
  </si>
  <si>
    <t>Only 48% of Watchlist and Transitioning cases carry recorded remedial measures; 39 actions overdue, 6 beyond 90 days.</t>
  </si>
  <si>
    <t>Chief Risk Officer</t>
  </si>
  <si>
    <t>15 Oct 2026</t>
  </si>
  <si>
    <t>High</t>
  </si>
  <si>
    <t>Two open risk-appetite breaches (sector concentration)</t>
  </si>
  <si>
    <t>Both relate to sector concentration in the guarantee book. Oldest breach is 41 days without an approved remediation plan.</t>
  </si>
  <si>
    <t>30 Sept 2026</t>
  </si>
  <si>
    <t>39 transition actions overdue</t>
  </si>
  <si>
    <t>Aging: 21 within 30 days, 12 at 31-90 days and 6 beyond 90 days.</t>
  </si>
  <si>
    <t>Medium</t>
  </si>
  <si>
    <t>Segment</t>
  </si>
  <si>
    <t>Share %</t>
  </si>
  <si>
    <t>Microenterprises</t>
  </si>
  <si>
    <t>251 MSMEs</t>
  </si>
  <si>
    <t>First-time borrowers</t>
  </si>
  <si>
    <t>72 MSMEs</t>
  </si>
  <si>
    <t>New-to-CGC</t>
  </si>
  <si>
    <t>261 MSMEs</t>
  </si>
  <si>
    <t>Conversion shown</t>
  </si>
  <si>
    <t>Visits</t>
  </si>
  <si>
    <t>Registered</t>
  </si>
  <si>
    <t>26.4%</t>
  </si>
  <si>
    <t>Matches</t>
  </si>
  <si>
    <t>30.1%</t>
  </si>
  <si>
    <t>Applications</t>
  </si>
  <si>
    <t>36.8%</t>
  </si>
  <si>
    <t>Approvals</t>
  </si>
  <si>
    <t>15.1%</t>
  </si>
  <si>
    <t>Measure</t>
  </si>
  <si>
    <t>Current (demo)</t>
  </si>
  <si>
    <t>Published benchmark</t>
  </si>
  <si>
    <t>2024 actual</t>
  </si>
  <si>
    <t>First call resolution</t>
  </si>
  <si>
    <t>94.8%</t>
  </si>
  <si>
    <t>80% target</t>
  </si>
  <si>
    <t>96% (2024)</t>
  </si>
  <si>
    <t>Calls answered ≤20 seconds</t>
  </si>
  <si>
    <t>98.4%</t>
  </si>
  <si>
    <t>99% (2024)</t>
  </si>
  <si>
    <t>Abandoned calls</t>
  </si>
  <si>
    <t>0.09%</t>
  </si>
  <si>
    <t>5% threshold</t>
  </si>
  <si>
    <t>0.06% (2024)</t>
  </si>
  <si>
    <t>Complaint resolution</t>
  </si>
  <si>
    <t>4.3 days</t>
  </si>
  <si>
    <t>10-day charter</t>
  </si>
  <si>
    <t>4 days (2024)</t>
  </si>
  <si>
    <t>Customer satisfaction</t>
  </si>
  <si>
    <t>94%</t>
  </si>
  <si>
    <t>80% benchmark</t>
  </si>
  <si>
    <t>CSI 95% (2024)</t>
  </si>
  <si>
    <t>PFI</t>
  </si>
  <si>
    <t>Utilisation %</t>
  </si>
  <si>
    <t>Contract target %</t>
  </si>
  <si>
    <t>% of target</t>
  </si>
  <si>
    <t>PFI A — Commercial Bank</t>
  </si>
  <si>
    <t>PFI B — Islamic Bank</t>
  </si>
  <si>
    <t>PFI C — Commercial Bank</t>
  </si>
  <si>
    <t>PFI E — Commercial Bank</t>
  </si>
  <si>
    <t>Metric</t>
  </si>
  <si>
    <t>Note</t>
  </si>
  <si>
    <t>Claims ratio</t>
  </si>
  <si>
    <t>91.4%</t>
  </si>
  <si>
    <t>FY2024: 98.6%</t>
  </si>
  <si>
    <t>Guarantee reserve ratio</t>
  </si>
  <si>
    <t>1.9x</t>
  </si>
  <si>
    <t>FY2024: 1.6x (prior target 2.8x)</t>
  </si>
  <si>
    <t>Expected credit loss</t>
  </si>
  <si>
    <t>RM 412 m</t>
  </si>
  <si>
    <t>+RM 18m QoQ</t>
  </si>
  <si>
    <t>Financial sustainability ratio</t>
  </si>
  <si>
    <t>0.51</t>
  </si>
  <si>
    <t>FY2024: 0.45</t>
  </si>
  <si>
    <t>Type</t>
  </si>
  <si>
    <t>Open</t>
  </si>
  <si>
    <t>Overdue</t>
  </si>
  <si>
    <t>Risk appetite breaches</t>
  </si>
  <si>
    <t>Regulatory / compliance breaches</t>
  </si>
  <si>
    <t>Internal audit actions</t>
  </si>
  <si>
    <t>Board / management actions</t>
  </si>
  <si>
    <t>AML/CFT alerts</t>
  </si>
  <si>
    <t>Cyber &amp; privacy incidents</t>
  </si>
  <si>
    <t>Pillar</t>
  </si>
  <si>
    <t>Readiness %</t>
  </si>
  <si>
    <t>Binding gap</t>
  </si>
  <si>
    <t>Governance</t>
  </si>
  <si>
    <t>Board climate-competency mapping outstanding</t>
  </si>
  <si>
    <t>Strategy</t>
  </si>
  <si>
    <t>Scenario analysis disclosure not yet drafted</t>
  </si>
  <si>
    <t>Risk management</t>
  </si>
  <si>
    <t>Climate risk integrated into ICAAP only partially</t>
  </si>
  <si>
    <t>Metrics &amp; targets</t>
  </si>
  <si>
    <t>Financed-emissions baseline and targets not established</t>
  </si>
  <si>
    <t>YoY</t>
  </si>
  <si>
    <t>Scope 1</t>
  </si>
  <si>
    <t>412 tCO₂e</t>
  </si>
  <si>
    <t>−6.4% YoY</t>
  </si>
  <si>
    <t>Scope 2 (location-based)</t>
  </si>
  <si>
    <t>2,180 tCO₂e</t>
  </si>
  <si>
    <t>−4.1% YoY</t>
  </si>
  <si>
    <t>Business travel (Scope 3)</t>
  </si>
  <si>
    <t>318 tCO₂e</t>
  </si>
  <si>
    <t>+8.2% YoY</t>
  </si>
  <si>
    <t>Electricity</t>
  </si>
  <si>
    <t>3,062 MWh</t>
  </si>
  <si>
    <t>−3.8% YoY</t>
  </si>
  <si>
    <t>All figures are DEMO DATA transcribed from the screenshots (Kelantan filter on screens 2-9).</t>
  </si>
  <si>
    <t>Edit blue cells; Funnel column C is a formula.</t>
  </si>
  <si>
    <t>data.js mirrors these sheets — re-export after editing.</t>
  </si>
  <si>
    <t>RM 6.42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</si>
</sst>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charset val="1"/>
    </font>
    <font>
      <b/>
      <sz val="11"/>
      <color rgb="FFFFFFFF"/>
      <name val="Arial"/>
      <charset val="1"/>
    </font>
    <font>
      <sz val="11"/>
      <name val="Arial"/>
      <charset val="1"/>
    </font>
    <font>
      <sz val="11"/>
      <color rgb="FF0000FF"/>
      <name val="Arial"/>
      <charset val="1"/>
    </font>
  </fonts>
  <fills count="3">
    <fill>
      <patternFill patternType="none"/>
    </fill>
    <fill>
      <patternFill patternType="gray125"/>
    </fill>
    <fill>
      <patternFill patternType="solid">
        <fgColor rgb="FF0F2A47"/>
        <bgColor rgb="FF33333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2" fillId="0" borderId="0" xfId="0" applyFont="1"/>
    <xf numFmtId="0" fontId="3"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A47"/>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workbookViewId="0">
      <pane ySplit="1" topLeftCell="A2" activePane="bottomLeft" state="frozen"/>
      <selection pane="bottomLeft"/>
    </sheetView>
  </sheetViews>
  <sheetFormatPr defaultColWidth="8.6640625" defaultRowHeight="14.4" x14ac:dyDescent="0.3"/>
  <cols>
    <col min="1" max="1" width="16" customWidth="1"/>
    <col min="2" max="2" width="27" customWidth="1"/>
    <col min="3" max="5" width="60" customWidth="1"/>
    <col min="6" max="6" width="16" customWidth="1"/>
  </cols>
  <sheetData>
    <row r="1" spans="1:6" x14ac:dyDescent="0.3">
      <c r="A1" s="1" t="s">
        <v>0</v>
      </c>
      <c r="B1" s="1" t="s">
        <v>1</v>
      </c>
      <c r="C1" s="1" t="s">
        <v>2</v>
      </c>
      <c r="D1" s="1" t="s">
        <v>3</v>
      </c>
      <c r="E1" s="1" t="s">
        <v>4</v>
      </c>
      <c r="F1" s="1" t="s">
        <v>5</v>
      </c>
    </row>
    <row r="2" spans="1:6" x14ac:dyDescent="0.3">
      <c r="A2" s="2" t="s">
        <v>6</v>
      </c>
      <c r="B2" s="2" t="s">
        <v>7</v>
      </c>
      <c r="C2" s="2" t="s">
        <v>8</v>
      </c>
      <c r="D2" s="2" t="s">
        <v>9</v>
      </c>
      <c r="E2" s="2" t="s">
        <v>10</v>
      </c>
      <c r="F2" s="2"/>
    </row>
    <row r="3" spans="1:6" x14ac:dyDescent="0.3">
      <c r="A3" s="2" t="s">
        <v>11</v>
      </c>
      <c r="B3" s="2" t="s">
        <v>12</v>
      </c>
      <c r="C3" s="2" t="s">
        <v>13</v>
      </c>
      <c r="D3" s="2" t="s">
        <v>14</v>
      </c>
      <c r="E3" s="2" t="s">
        <v>15</v>
      </c>
      <c r="F3" s="2" t="s">
        <v>16</v>
      </c>
    </row>
    <row r="4" spans="1:6" x14ac:dyDescent="0.3">
      <c r="A4" s="2" t="s">
        <v>17</v>
      </c>
      <c r="B4" s="2" t="s">
        <v>18</v>
      </c>
      <c r="C4" s="2" t="s">
        <v>18</v>
      </c>
      <c r="D4" s="2" t="s">
        <v>19</v>
      </c>
      <c r="E4" s="2" t="s">
        <v>20</v>
      </c>
      <c r="F4" s="2" t="s">
        <v>16</v>
      </c>
    </row>
    <row r="5" spans="1:6" x14ac:dyDescent="0.3">
      <c r="A5" s="2" t="s">
        <v>21</v>
      </c>
      <c r="B5" s="2" t="s">
        <v>22</v>
      </c>
      <c r="C5" s="2" t="s">
        <v>23</v>
      </c>
      <c r="D5" s="2" t="s">
        <v>24</v>
      </c>
      <c r="E5" s="2" t="s">
        <v>25</v>
      </c>
      <c r="F5" s="2" t="s">
        <v>16</v>
      </c>
    </row>
    <row r="6" spans="1:6" x14ac:dyDescent="0.3">
      <c r="A6" s="2" t="s">
        <v>26</v>
      </c>
      <c r="B6" s="2" t="s">
        <v>27</v>
      </c>
      <c r="C6" s="2" t="s">
        <v>28</v>
      </c>
      <c r="D6" s="2" t="s">
        <v>29</v>
      </c>
      <c r="E6" s="2" t="s">
        <v>15</v>
      </c>
      <c r="F6" s="2" t="s">
        <v>16</v>
      </c>
    </row>
    <row r="7" spans="1:6" x14ac:dyDescent="0.3">
      <c r="A7" s="2" t="s">
        <v>30</v>
      </c>
      <c r="B7" s="2" t="s">
        <v>31</v>
      </c>
      <c r="C7" s="2" t="s">
        <v>32</v>
      </c>
      <c r="D7" s="2" t="s">
        <v>33</v>
      </c>
      <c r="E7" s="2" t="s">
        <v>34</v>
      </c>
      <c r="F7" s="2" t="s">
        <v>16</v>
      </c>
    </row>
    <row r="8" spans="1:6" x14ac:dyDescent="0.3">
      <c r="A8" s="2" t="s">
        <v>35</v>
      </c>
      <c r="B8" s="2" t="s">
        <v>36</v>
      </c>
      <c r="C8" s="2" t="s">
        <v>37</v>
      </c>
      <c r="D8" s="2" t="s">
        <v>38</v>
      </c>
      <c r="E8" s="2" t="s">
        <v>15</v>
      </c>
      <c r="F8" s="2" t="s">
        <v>16</v>
      </c>
    </row>
    <row r="9" spans="1:6" x14ac:dyDescent="0.3">
      <c r="A9" s="2" t="s">
        <v>39</v>
      </c>
      <c r="B9" s="2" t="s">
        <v>40</v>
      </c>
      <c r="C9" s="2" t="s">
        <v>41</v>
      </c>
      <c r="D9" s="2" t="s">
        <v>42</v>
      </c>
      <c r="E9" s="2" t="s">
        <v>15</v>
      </c>
      <c r="F9" s="2" t="s">
        <v>16</v>
      </c>
    </row>
    <row r="10" spans="1:6" x14ac:dyDescent="0.3">
      <c r="A10" s="2" t="s">
        <v>43</v>
      </c>
      <c r="B10" s="2" t="s">
        <v>44</v>
      </c>
      <c r="C10" s="2" t="s">
        <v>45</v>
      </c>
      <c r="D10" s="2" t="s">
        <v>46</v>
      </c>
      <c r="E10" s="2" t="s">
        <v>15</v>
      </c>
      <c r="F10" s="2" t="s">
        <v>16</v>
      </c>
    </row>
    <row r="11" spans="1:6" x14ac:dyDescent="0.3">
      <c r="A11" s="2" t="s">
        <v>47</v>
      </c>
      <c r="B11" s="2" t="s">
        <v>48</v>
      </c>
      <c r="C11" s="2" t="s">
        <v>48</v>
      </c>
      <c r="D11" s="2" t="s">
        <v>49</v>
      </c>
      <c r="E11" s="2"/>
      <c r="F11"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tabSelected="1" zoomScaleNormal="100" workbookViewId="0">
      <pane ySplit="1" topLeftCell="A2" activePane="bottomLeft" state="frozen"/>
      <selection pane="bottomLeft" activeCell="C3" sqref="C3"/>
    </sheetView>
  </sheetViews>
  <sheetFormatPr defaultColWidth="8.6640625" defaultRowHeight="14.4" x14ac:dyDescent="0.3"/>
  <cols>
    <col min="1" max="1" width="16" customWidth="1"/>
    <col min="2" max="2" width="46" customWidth="1"/>
    <col min="3" max="3" width="20" customWidth="1"/>
    <col min="4" max="4" width="24" customWidth="1"/>
    <col min="5" max="5" width="16" customWidth="1"/>
    <col min="6" max="6" width="32" customWidth="1"/>
    <col min="7" max="7" width="53" customWidth="1"/>
    <col min="8" max="8" width="60" customWidth="1"/>
    <col min="9" max="9" width="17" customWidth="1"/>
    <col min="10" max="10" width="19" customWidth="1"/>
  </cols>
  <sheetData>
    <row r="1" spans="1:10" x14ac:dyDescent="0.3">
      <c r="A1" s="1" t="s">
        <v>50</v>
      </c>
      <c r="B1" s="1" t="s">
        <v>51</v>
      </c>
      <c r="C1" s="1" t="s">
        <v>52</v>
      </c>
      <c r="D1" s="1" t="s">
        <v>53</v>
      </c>
      <c r="E1" s="1" t="s">
        <v>54</v>
      </c>
      <c r="F1" s="1" t="s">
        <v>55</v>
      </c>
      <c r="G1" s="1" t="s">
        <v>56</v>
      </c>
      <c r="H1" s="1" t="s">
        <v>57</v>
      </c>
      <c r="I1" s="1" t="s">
        <v>58</v>
      </c>
      <c r="J1" s="1" t="s">
        <v>59</v>
      </c>
    </row>
    <row r="2" spans="1:10" x14ac:dyDescent="0.3">
      <c r="A2" s="2" t="s">
        <v>6</v>
      </c>
      <c r="B2" s="2" t="s">
        <v>60</v>
      </c>
      <c r="C2" s="2" t="s">
        <v>368</v>
      </c>
      <c r="D2" s="2" t="s">
        <v>61</v>
      </c>
      <c r="E2" s="2" t="s">
        <v>62</v>
      </c>
      <c r="F2" s="2" t="s">
        <v>63</v>
      </c>
      <c r="G2" s="2" t="s">
        <v>64</v>
      </c>
      <c r="H2" s="2" t="s">
        <v>65</v>
      </c>
      <c r="I2" s="3">
        <v>0</v>
      </c>
      <c r="J2" s="2" t="s">
        <v>66</v>
      </c>
    </row>
    <row r="3" spans="1:10" x14ac:dyDescent="0.3">
      <c r="A3" s="2" t="s">
        <v>6</v>
      </c>
      <c r="B3" s="2" t="s">
        <v>67</v>
      </c>
      <c r="C3" s="2" t="s">
        <v>68</v>
      </c>
      <c r="D3" s="2" t="s">
        <v>69</v>
      </c>
      <c r="E3" s="2" t="s">
        <v>62</v>
      </c>
      <c r="F3" s="2" t="s">
        <v>70</v>
      </c>
      <c r="G3" s="2" t="s">
        <v>71</v>
      </c>
      <c r="H3" s="2" t="s">
        <v>72</v>
      </c>
      <c r="I3" s="3">
        <v>1</v>
      </c>
      <c r="J3" s="2"/>
    </row>
    <row r="4" spans="1:10" x14ac:dyDescent="0.3">
      <c r="A4" s="2" t="s">
        <v>6</v>
      </c>
      <c r="B4" s="2" t="s">
        <v>73</v>
      </c>
      <c r="C4" s="2" t="s">
        <v>74</v>
      </c>
      <c r="D4" s="2" t="s">
        <v>75</v>
      </c>
      <c r="E4" s="2" t="s">
        <v>62</v>
      </c>
      <c r="F4" s="2" t="s">
        <v>63</v>
      </c>
      <c r="G4" s="2" t="s">
        <v>76</v>
      </c>
      <c r="H4" s="2" t="s">
        <v>77</v>
      </c>
      <c r="I4" s="3">
        <v>0</v>
      </c>
      <c r="J4" s="2" t="s">
        <v>78</v>
      </c>
    </row>
    <row r="5" spans="1:10" x14ac:dyDescent="0.3">
      <c r="A5" s="2" t="s">
        <v>6</v>
      </c>
      <c r="B5" s="2" t="s">
        <v>79</v>
      </c>
      <c r="C5" s="2" t="s">
        <v>80</v>
      </c>
      <c r="D5" s="2" t="s">
        <v>81</v>
      </c>
      <c r="E5" s="2" t="s">
        <v>62</v>
      </c>
      <c r="F5" s="2" t="s">
        <v>70</v>
      </c>
      <c r="G5" s="2" t="s">
        <v>71</v>
      </c>
      <c r="H5" s="2" t="s">
        <v>82</v>
      </c>
      <c r="I5" s="3">
        <v>1</v>
      </c>
      <c r="J5" s="2"/>
    </row>
    <row r="6" spans="1:10" x14ac:dyDescent="0.3">
      <c r="A6" s="2" t="s">
        <v>6</v>
      </c>
      <c r="B6" s="2" t="s">
        <v>83</v>
      </c>
      <c r="C6" s="2" t="s">
        <v>84</v>
      </c>
      <c r="D6" s="2" t="s">
        <v>85</v>
      </c>
      <c r="E6" s="2" t="s">
        <v>62</v>
      </c>
      <c r="F6" s="2" t="s">
        <v>63</v>
      </c>
      <c r="G6" s="2" t="s">
        <v>86</v>
      </c>
      <c r="H6" s="2" t="s">
        <v>87</v>
      </c>
      <c r="I6" s="3">
        <v>1</v>
      </c>
      <c r="J6" s="2"/>
    </row>
    <row r="7" spans="1:10" x14ac:dyDescent="0.3">
      <c r="A7" s="2" t="s">
        <v>6</v>
      </c>
      <c r="B7" s="2" t="s">
        <v>88</v>
      </c>
      <c r="C7" s="2" t="s">
        <v>89</v>
      </c>
      <c r="D7" s="2" t="s">
        <v>90</v>
      </c>
      <c r="E7" s="2" t="s">
        <v>62</v>
      </c>
      <c r="F7" s="2" t="s">
        <v>70</v>
      </c>
      <c r="G7" s="2" t="s">
        <v>71</v>
      </c>
      <c r="H7" s="2" t="s">
        <v>91</v>
      </c>
      <c r="I7" s="3">
        <v>0</v>
      </c>
      <c r="J7" s="2"/>
    </row>
    <row r="8" spans="1:10" x14ac:dyDescent="0.3">
      <c r="A8" s="2" t="s">
        <v>17</v>
      </c>
      <c r="B8" s="2" t="s">
        <v>73</v>
      </c>
      <c r="C8" s="2" t="s">
        <v>74</v>
      </c>
      <c r="D8" s="2" t="s">
        <v>75</v>
      </c>
      <c r="E8" s="2" t="s">
        <v>62</v>
      </c>
      <c r="F8" s="2" t="s">
        <v>63</v>
      </c>
      <c r="G8" s="2" t="s">
        <v>76</v>
      </c>
      <c r="H8" s="2" t="s">
        <v>92</v>
      </c>
      <c r="I8" s="3">
        <v>0</v>
      </c>
      <c r="J8" s="2" t="s">
        <v>78</v>
      </c>
    </row>
    <row r="9" spans="1:10" x14ac:dyDescent="0.3">
      <c r="A9" s="2" t="s">
        <v>11</v>
      </c>
      <c r="B9" s="2" t="s">
        <v>93</v>
      </c>
      <c r="C9" s="2" t="s">
        <v>94</v>
      </c>
      <c r="D9" s="2" t="s">
        <v>95</v>
      </c>
      <c r="E9" s="2" t="s">
        <v>62</v>
      </c>
      <c r="F9" s="2" t="s">
        <v>70</v>
      </c>
      <c r="G9" s="2" t="s">
        <v>71</v>
      </c>
      <c r="H9" s="2"/>
      <c r="I9" s="3">
        <v>1</v>
      </c>
      <c r="J9" s="2"/>
    </row>
    <row r="10" spans="1:10" x14ac:dyDescent="0.3">
      <c r="A10" s="2" t="s">
        <v>11</v>
      </c>
      <c r="B10" s="2" t="s">
        <v>96</v>
      </c>
      <c r="C10" s="2" t="s">
        <v>97</v>
      </c>
      <c r="D10" s="2" t="s">
        <v>98</v>
      </c>
      <c r="E10" s="2" t="s">
        <v>99</v>
      </c>
      <c r="F10" s="2" t="s">
        <v>70</v>
      </c>
      <c r="G10" s="2" t="s">
        <v>71</v>
      </c>
      <c r="H10" s="2"/>
      <c r="I10" s="3">
        <v>0</v>
      </c>
      <c r="J10" s="2"/>
    </row>
    <row r="11" spans="1:10" x14ac:dyDescent="0.3">
      <c r="A11" s="2" t="s">
        <v>11</v>
      </c>
      <c r="B11" s="2" t="s">
        <v>100</v>
      </c>
      <c r="C11" s="2" t="s">
        <v>101</v>
      </c>
      <c r="D11" s="2" t="s">
        <v>102</v>
      </c>
      <c r="E11" s="2" t="s">
        <v>62</v>
      </c>
      <c r="F11" s="2" t="s">
        <v>63</v>
      </c>
      <c r="G11" s="2" t="s">
        <v>86</v>
      </c>
      <c r="H11" s="2" t="s">
        <v>103</v>
      </c>
      <c r="I11" s="3">
        <v>1</v>
      </c>
      <c r="J11" s="2"/>
    </row>
    <row r="12" spans="1:10" x14ac:dyDescent="0.3">
      <c r="A12" s="2" t="s">
        <v>11</v>
      </c>
      <c r="B12" s="2" t="s">
        <v>104</v>
      </c>
      <c r="C12" s="2" t="s">
        <v>105</v>
      </c>
      <c r="D12" s="2" t="s">
        <v>106</v>
      </c>
      <c r="E12" s="2" t="s">
        <v>62</v>
      </c>
      <c r="F12" s="2" t="s">
        <v>70</v>
      </c>
      <c r="G12" s="2" t="s">
        <v>71</v>
      </c>
      <c r="H12" s="2"/>
      <c r="I12" s="3">
        <v>1</v>
      </c>
      <c r="J12" s="2"/>
    </row>
    <row r="13" spans="1:10" x14ac:dyDescent="0.3">
      <c r="A13" s="2" t="s">
        <v>11</v>
      </c>
      <c r="B13" s="2" t="s">
        <v>107</v>
      </c>
      <c r="C13" s="2" t="s">
        <v>108</v>
      </c>
      <c r="D13" s="2" t="s">
        <v>109</v>
      </c>
      <c r="E13" s="2" t="s">
        <v>62</v>
      </c>
      <c r="F13" s="2" t="s">
        <v>70</v>
      </c>
      <c r="G13" s="2" t="s">
        <v>71</v>
      </c>
      <c r="H13" s="2"/>
      <c r="I13" s="3">
        <v>0</v>
      </c>
      <c r="J13" s="2"/>
    </row>
    <row r="14" spans="1:10" x14ac:dyDescent="0.3">
      <c r="A14" s="2" t="s">
        <v>11</v>
      </c>
      <c r="B14" s="2" t="s">
        <v>110</v>
      </c>
      <c r="C14" s="2" t="s">
        <v>111</v>
      </c>
      <c r="D14" s="2" t="s">
        <v>112</v>
      </c>
      <c r="E14" s="2" t="s">
        <v>62</v>
      </c>
      <c r="F14" s="2" t="s">
        <v>70</v>
      </c>
      <c r="G14" s="2" t="s">
        <v>71</v>
      </c>
      <c r="H14" s="2"/>
      <c r="I14" s="3">
        <v>0</v>
      </c>
      <c r="J14" s="2"/>
    </row>
    <row r="15" spans="1:10" x14ac:dyDescent="0.3">
      <c r="A15" s="2" t="s">
        <v>11</v>
      </c>
      <c r="B15" s="2" t="s">
        <v>113</v>
      </c>
      <c r="C15" s="2" t="s">
        <v>114</v>
      </c>
      <c r="D15" s="2" t="s">
        <v>115</v>
      </c>
      <c r="E15" s="2" t="s">
        <v>62</v>
      </c>
      <c r="F15" s="2" t="s">
        <v>70</v>
      </c>
      <c r="G15" s="2" t="s">
        <v>71</v>
      </c>
      <c r="H15" s="2"/>
      <c r="I15" s="3">
        <v>0</v>
      </c>
      <c r="J15" s="2"/>
    </row>
    <row r="16" spans="1:10" x14ac:dyDescent="0.3">
      <c r="A16" s="2" t="s">
        <v>11</v>
      </c>
      <c r="B16" s="2" t="s">
        <v>116</v>
      </c>
      <c r="C16" s="2" t="s">
        <v>117</v>
      </c>
      <c r="D16" s="2" t="s">
        <v>118</v>
      </c>
      <c r="E16" s="2" t="s">
        <v>62</v>
      </c>
      <c r="F16" s="2" t="s">
        <v>70</v>
      </c>
      <c r="G16" s="2" t="s">
        <v>71</v>
      </c>
      <c r="H16" s="2"/>
      <c r="I16" s="3">
        <v>1</v>
      </c>
      <c r="J16" s="2"/>
    </row>
    <row r="17" spans="1:10" x14ac:dyDescent="0.3">
      <c r="A17" s="2" t="s">
        <v>21</v>
      </c>
      <c r="B17" s="2" t="s">
        <v>119</v>
      </c>
      <c r="C17" s="2" t="s">
        <v>120</v>
      </c>
      <c r="D17" s="2" t="s">
        <v>121</v>
      </c>
      <c r="E17" s="2" t="s">
        <v>62</v>
      </c>
      <c r="F17" s="2" t="s">
        <v>122</v>
      </c>
      <c r="G17" s="2" t="s">
        <v>123</v>
      </c>
      <c r="H17" s="2" t="s">
        <v>124</v>
      </c>
      <c r="I17" s="3">
        <v>0</v>
      </c>
      <c r="J17" s="2" t="s">
        <v>125</v>
      </c>
    </row>
    <row r="18" spans="1:10" x14ac:dyDescent="0.3">
      <c r="A18" s="2" t="s">
        <v>21</v>
      </c>
      <c r="B18" s="2" t="s">
        <v>126</v>
      </c>
      <c r="C18" s="2" t="s">
        <v>127</v>
      </c>
      <c r="D18" s="2" t="s">
        <v>128</v>
      </c>
      <c r="E18" s="2" t="s">
        <v>62</v>
      </c>
      <c r="F18" s="2" t="s">
        <v>70</v>
      </c>
      <c r="G18" s="2" t="s">
        <v>71</v>
      </c>
      <c r="H18" s="2"/>
      <c r="I18" s="3">
        <v>0</v>
      </c>
      <c r="J18" s="2"/>
    </row>
    <row r="19" spans="1:10" x14ac:dyDescent="0.3">
      <c r="A19" s="2" t="s">
        <v>21</v>
      </c>
      <c r="B19" s="2" t="s">
        <v>129</v>
      </c>
      <c r="C19" s="2" t="s">
        <v>130</v>
      </c>
      <c r="D19" s="2" t="s">
        <v>131</v>
      </c>
      <c r="E19" s="2" t="s">
        <v>62</v>
      </c>
      <c r="F19" s="2" t="s">
        <v>70</v>
      </c>
      <c r="G19" s="2" t="s">
        <v>71</v>
      </c>
      <c r="H19" s="2"/>
      <c r="I19" s="3">
        <v>0</v>
      </c>
      <c r="J19" s="2"/>
    </row>
    <row r="20" spans="1:10" x14ac:dyDescent="0.3">
      <c r="A20" s="2" t="s">
        <v>21</v>
      </c>
      <c r="B20" s="2" t="s">
        <v>132</v>
      </c>
      <c r="C20" s="2" t="s">
        <v>133</v>
      </c>
      <c r="D20" s="2" t="s">
        <v>134</v>
      </c>
      <c r="E20" s="2" t="s">
        <v>135</v>
      </c>
      <c r="F20" s="2" t="s">
        <v>70</v>
      </c>
      <c r="G20" s="2" t="s">
        <v>71</v>
      </c>
      <c r="H20" s="2"/>
      <c r="I20" s="3">
        <v>1</v>
      </c>
      <c r="J20" s="2"/>
    </row>
    <row r="21" spans="1:10" x14ac:dyDescent="0.3">
      <c r="A21" s="2" t="s">
        <v>21</v>
      </c>
      <c r="B21" s="2" t="s">
        <v>136</v>
      </c>
      <c r="C21" s="2" t="s">
        <v>137</v>
      </c>
      <c r="D21" s="2" t="s">
        <v>138</v>
      </c>
      <c r="E21" s="2" t="s">
        <v>62</v>
      </c>
      <c r="F21" s="2" t="s">
        <v>122</v>
      </c>
      <c r="G21" s="2" t="s">
        <v>139</v>
      </c>
      <c r="H21" s="2" t="s">
        <v>140</v>
      </c>
      <c r="I21" s="3">
        <v>0</v>
      </c>
      <c r="J21" s="2"/>
    </row>
    <row r="22" spans="1:10" x14ac:dyDescent="0.3">
      <c r="A22" s="2" t="s">
        <v>21</v>
      </c>
      <c r="B22" s="2" t="s">
        <v>141</v>
      </c>
      <c r="C22" s="2" t="s">
        <v>142</v>
      </c>
      <c r="D22" s="2" t="s">
        <v>90</v>
      </c>
      <c r="E22" s="2" t="s">
        <v>62</v>
      </c>
      <c r="F22" s="2" t="s">
        <v>122</v>
      </c>
      <c r="G22" s="2" t="s">
        <v>139</v>
      </c>
      <c r="H22" s="2" t="s">
        <v>140</v>
      </c>
      <c r="I22" s="3">
        <v>0</v>
      </c>
      <c r="J22" s="2"/>
    </row>
    <row r="23" spans="1:10" x14ac:dyDescent="0.3">
      <c r="A23" s="2" t="s">
        <v>21</v>
      </c>
      <c r="B23" s="2" t="s">
        <v>143</v>
      </c>
      <c r="C23" s="2" t="s">
        <v>144</v>
      </c>
      <c r="D23" s="2" t="s">
        <v>145</v>
      </c>
      <c r="E23" s="2" t="s">
        <v>62</v>
      </c>
      <c r="F23" s="2" t="s">
        <v>122</v>
      </c>
      <c r="G23" s="2" t="s">
        <v>86</v>
      </c>
      <c r="H23" s="2" t="s">
        <v>146</v>
      </c>
      <c r="I23" s="3">
        <v>0</v>
      </c>
      <c r="J23" s="2"/>
    </row>
    <row r="24" spans="1:10" x14ac:dyDescent="0.3">
      <c r="A24" s="2" t="s">
        <v>21</v>
      </c>
      <c r="B24" s="2" t="s">
        <v>147</v>
      </c>
      <c r="C24" s="2" t="s">
        <v>148</v>
      </c>
      <c r="D24" s="2" t="s">
        <v>149</v>
      </c>
      <c r="E24" s="2" t="s">
        <v>62</v>
      </c>
      <c r="F24" s="2" t="s">
        <v>150</v>
      </c>
      <c r="G24" s="2" t="s">
        <v>151</v>
      </c>
      <c r="H24" s="2" t="s">
        <v>152</v>
      </c>
      <c r="I24" s="3">
        <v>0</v>
      </c>
      <c r="J24" s="2"/>
    </row>
    <row r="25" spans="1:10" x14ac:dyDescent="0.3">
      <c r="A25" s="2" t="s">
        <v>21</v>
      </c>
      <c r="B25" s="2" t="s">
        <v>153</v>
      </c>
      <c r="C25" s="2" t="s">
        <v>154</v>
      </c>
      <c r="D25" s="2" t="s">
        <v>155</v>
      </c>
      <c r="E25" s="2" t="s">
        <v>62</v>
      </c>
      <c r="F25" s="2" t="s">
        <v>70</v>
      </c>
      <c r="G25" s="2" t="s">
        <v>71</v>
      </c>
      <c r="H25" s="2"/>
      <c r="I25" s="3">
        <v>0</v>
      </c>
      <c r="J25" s="2"/>
    </row>
    <row r="26" spans="1:10" x14ac:dyDescent="0.3">
      <c r="A26" s="2" t="s">
        <v>21</v>
      </c>
      <c r="B26" s="2" t="s">
        <v>156</v>
      </c>
      <c r="C26" s="2" t="s">
        <v>157</v>
      </c>
      <c r="D26" s="2" t="s">
        <v>158</v>
      </c>
      <c r="E26" s="2" t="s">
        <v>62</v>
      </c>
      <c r="F26" s="2" t="s">
        <v>150</v>
      </c>
      <c r="G26" s="2" t="s">
        <v>86</v>
      </c>
      <c r="H26" s="2" t="s">
        <v>159</v>
      </c>
      <c r="I26" s="3">
        <v>0</v>
      </c>
      <c r="J26" s="2"/>
    </row>
    <row r="27" spans="1:10" x14ac:dyDescent="0.3">
      <c r="A27" s="2" t="s">
        <v>21</v>
      </c>
      <c r="B27" s="2" t="s">
        <v>160</v>
      </c>
      <c r="C27" s="2" t="s">
        <v>161</v>
      </c>
      <c r="D27" s="2" t="s">
        <v>162</v>
      </c>
      <c r="E27" s="2" t="s">
        <v>62</v>
      </c>
      <c r="F27" s="2" t="s">
        <v>70</v>
      </c>
      <c r="G27" s="2" t="s">
        <v>163</v>
      </c>
      <c r="H27" s="2"/>
      <c r="I27" s="3">
        <v>0</v>
      </c>
      <c r="J27" s="2"/>
    </row>
    <row r="28" spans="1:10" x14ac:dyDescent="0.3">
      <c r="A28" s="2" t="s">
        <v>21</v>
      </c>
      <c r="B28" s="2" t="s">
        <v>164</v>
      </c>
      <c r="C28" s="2" t="s">
        <v>165</v>
      </c>
      <c r="D28" s="2" t="s">
        <v>166</v>
      </c>
      <c r="E28" s="2" t="s">
        <v>62</v>
      </c>
      <c r="F28" s="2" t="s">
        <v>70</v>
      </c>
      <c r="G28" s="2" t="s">
        <v>71</v>
      </c>
      <c r="H28" s="2"/>
      <c r="I28" s="3">
        <v>0</v>
      </c>
      <c r="J28" s="2"/>
    </row>
    <row r="29" spans="1:10" x14ac:dyDescent="0.3">
      <c r="A29" s="2" t="s">
        <v>21</v>
      </c>
      <c r="B29" s="2" t="s">
        <v>167</v>
      </c>
      <c r="C29" s="2" t="s">
        <v>127</v>
      </c>
      <c r="D29" s="2"/>
      <c r="E29" s="2" t="s">
        <v>99</v>
      </c>
      <c r="F29" s="2" t="s">
        <v>70</v>
      </c>
      <c r="G29" s="2" t="s">
        <v>71</v>
      </c>
      <c r="H29" s="2"/>
      <c r="I29" s="3">
        <v>0</v>
      </c>
      <c r="J29" s="2"/>
    </row>
    <row r="30" spans="1:10" x14ac:dyDescent="0.3">
      <c r="A30" s="2" t="s">
        <v>21</v>
      </c>
      <c r="B30" s="2" t="s">
        <v>168</v>
      </c>
      <c r="C30" s="2" t="s">
        <v>169</v>
      </c>
      <c r="D30" s="2"/>
      <c r="E30" s="2" t="s">
        <v>99</v>
      </c>
      <c r="F30" s="2" t="s">
        <v>70</v>
      </c>
      <c r="G30" s="2" t="s">
        <v>163</v>
      </c>
      <c r="H30" s="2"/>
      <c r="I30" s="3">
        <v>0</v>
      </c>
      <c r="J30" s="2"/>
    </row>
    <row r="31" spans="1:10" x14ac:dyDescent="0.3">
      <c r="A31" s="2" t="s">
        <v>21</v>
      </c>
      <c r="B31" s="2" t="s">
        <v>170</v>
      </c>
      <c r="C31" s="2" t="s">
        <v>171</v>
      </c>
      <c r="D31" s="2"/>
      <c r="E31" s="2" t="s">
        <v>99</v>
      </c>
      <c r="F31" s="2" t="s">
        <v>70</v>
      </c>
      <c r="G31" s="2" t="s">
        <v>163</v>
      </c>
      <c r="H31" s="2"/>
      <c r="I31" s="3">
        <v>0</v>
      </c>
      <c r="J31" s="2"/>
    </row>
    <row r="32" spans="1:10" x14ac:dyDescent="0.3">
      <c r="A32" s="2" t="s">
        <v>26</v>
      </c>
      <c r="B32" s="2" t="s">
        <v>172</v>
      </c>
      <c r="C32" s="2" t="s">
        <v>173</v>
      </c>
      <c r="D32" s="2" t="s">
        <v>131</v>
      </c>
      <c r="E32" s="2" t="s">
        <v>62</v>
      </c>
      <c r="F32" s="2" t="s">
        <v>70</v>
      </c>
      <c r="G32" s="2" t="s">
        <v>71</v>
      </c>
      <c r="H32" s="2"/>
      <c r="I32" s="3">
        <v>0</v>
      </c>
      <c r="J32" s="2"/>
    </row>
    <row r="33" spans="1:10" x14ac:dyDescent="0.3">
      <c r="A33" s="2" t="s">
        <v>26</v>
      </c>
      <c r="B33" s="2" t="s">
        <v>174</v>
      </c>
      <c r="C33" s="2" t="s">
        <v>175</v>
      </c>
      <c r="D33" s="2" t="s">
        <v>176</v>
      </c>
      <c r="E33" s="2" t="s">
        <v>62</v>
      </c>
      <c r="F33" s="2" t="s">
        <v>70</v>
      </c>
      <c r="G33" s="2" t="s">
        <v>71</v>
      </c>
      <c r="H33" s="2"/>
      <c r="I33" s="3">
        <v>0</v>
      </c>
      <c r="J33" s="2"/>
    </row>
    <row r="34" spans="1:10" x14ac:dyDescent="0.3">
      <c r="A34" s="2" t="s">
        <v>26</v>
      </c>
      <c r="B34" s="2" t="s">
        <v>177</v>
      </c>
      <c r="C34" s="2" t="s">
        <v>178</v>
      </c>
      <c r="D34" s="2" t="s">
        <v>128</v>
      </c>
      <c r="E34" s="2" t="s">
        <v>62</v>
      </c>
      <c r="F34" s="2" t="s">
        <v>70</v>
      </c>
      <c r="G34" s="2" t="s">
        <v>163</v>
      </c>
      <c r="H34" s="2"/>
      <c r="I34" s="3">
        <v>1</v>
      </c>
      <c r="J34" s="2"/>
    </row>
    <row r="35" spans="1:10" x14ac:dyDescent="0.3">
      <c r="A35" s="2" t="s">
        <v>26</v>
      </c>
      <c r="B35" s="2" t="s">
        <v>179</v>
      </c>
      <c r="C35" s="2" t="s">
        <v>180</v>
      </c>
      <c r="D35" s="2" t="s">
        <v>181</v>
      </c>
      <c r="E35" s="2" t="s">
        <v>62</v>
      </c>
      <c r="F35" s="2" t="s">
        <v>70</v>
      </c>
      <c r="G35" s="2" t="s">
        <v>71</v>
      </c>
      <c r="H35" s="2"/>
      <c r="I35" s="3">
        <v>0</v>
      </c>
      <c r="J35" s="2"/>
    </row>
    <row r="36" spans="1:10" x14ac:dyDescent="0.3">
      <c r="A36" s="2" t="s">
        <v>26</v>
      </c>
      <c r="B36" s="2" t="s">
        <v>182</v>
      </c>
      <c r="C36" s="2" t="s">
        <v>183</v>
      </c>
      <c r="D36" s="2" t="s">
        <v>184</v>
      </c>
      <c r="E36" s="2" t="s">
        <v>62</v>
      </c>
      <c r="F36" s="2" t="s">
        <v>70</v>
      </c>
      <c r="G36" s="2" t="s">
        <v>71</v>
      </c>
      <c r="H36" s="2"/>
      <c r="I36" s="3">
        <v>0</v>
      </c>
      <c r="J36" s="2"/>
    </row>
    <row r="37" spans="1:10" x14ac:dyDescent="0.3">
      <c r="A37" s="2" t="s">
        <v>26</v>
      </c>
      <c r="B37" s="2" t="s">
        <v>185</v>
      </c>
      <c r="C37" s="2" t="s">
        <v>186</v>
      </c>
      <c r="D37" s="2" t="s">
        <v>187</v>
      </c>
      <c r="E37" s="2" t="s">
        <v>62</v>
      </c>
      <c r="F37" s="2" t="s">
        <v>70</v>
      </c>
      <c r="G37" s="2" t="s">
        <v>71</v>
      </c>
      <c r="H37" s="2"/>
      <c r="I37" s="3">
        <v>0</v>
      </c>
      <c r="J37" s="2"/>
    </row>
    <row r="38" spans="1:10" x14ac:dyDescent="0.3">
      <c r="A38" s="2" t="s">
        <v>26</v>
      </c>
      <c r="B38" s="2" t="s">
        <v>188</v>
      </c>
      <c r="C38" s="2" t="s">
        <v>189</v>
      </c>
      <c r="D38" s="2" t="s">
        <v>190</v>
      </c>
      <c r="E38" s="2" t="s">
        <v>62</v>
      </c>
      <c r="F38" s="2" t="s">
        <v>70</v>
      </c>
      <c r="G38" s="2" t="s">
        <v>71</v>
      </c>
      <c r="H38" s="2"/>
      <c r="I38" s="3">
        <v>0</v>
      </c>
      <c r="J38" s="2"/>
    </row>
    <row r="39" spans="1:10" x14ac:dyDescent="0.3">
      <c r="A39" s="2" t="s">
        <v>26</v>
      </c>
      <c r="B39" s="2" t="s">
        <v>191</v>
      </c>
      <c r="C39" s="2" t="s">
        <v>192</v>
      </c>
      <c r="D39" s="2" t="s">
        <v>193</v>
      </c>
      <c r="E39" s="2" t="s">
        <v>62</v>
      </c>
      <c r="F39" s="2" t="s">
        <v>70</v>
      </c>
      <c r="G39" s="2" t="s">
        <v>194</v>
      </c>
      <c r="H39" s="2"/>
      <c r="I39" s="3">
        <v>1</v>
      </c>
      <c r="J39" s="2"/>
    </row>
    <row r="40" spans="1:10" x14ac:dyDescent="0.3">
      <c r="A40" s="2" t="s">
        <v>26</v>
      </c>
      <c r="B40" s="2" t="s">
        <v>195</v>
      </c>
      <c r="C40" s="2" t="s">
        <v>196</v>
      </c>
      <c r="D40" s="2"/>
      <c r="E40" s="2" t="s">
        <v>99</v>
      </c>
      <c r="F40" s="2" t="s">
        <v>63</v>
      </c>
      <c r="G40" s="2" t="s">
        <v>71</v>
      </c>
      <c r="H40" s="2"/>
      <c r="I40" s="3">
        <v>0</v>
      </c>
      <c r="J40" s="2"/>
    </row>
    <row r="41" spans="1:10" x14ac:dyDescent="0.3">
      <c r="A41" s="2" t="s">
        <v>26</v>
      </c>
      <c r="B41" s="2" t="s">
        <v>197</v>
      </c>
      <c r="C41" s="2" t="s">
        <v>198</v>
      </c>
      <c r="D41" s="2"/>
      <c r="E41" s="2" t="s">
        <v>99</v>
      </c>
      <c r="F41" s="2" t="s">
        <v>70</v>
      </c>
      <c r="G41" s="2" t="s">
        <v>71</v>
      </c>
      <c r="H41" s="2"/>
      <c r="I41" s="3">
        <v>0</v>
      </c>
      <c r="J41" s="2"/>
    </row>
    <row r="42" spans="1:10" x14ac:dyDescent="0.3">
      <c r="A42" s="2" t="s">
        <v>26</v>
      </c>
      <c r="B42" s="2" t="s">
        <v>199</v>
      </c>
      <c r="C42" s="2" t="s">
        <v>200</v>
      </c>
      <c r="D42" s="2"/>
      <c r="E42" s="2" t="s">
        <v>99</v>
      </c>
      <c r="F42" s="2" t="s">
        <v>70</v>
      </c>
      <c r="G42" s="2" t="s">
        <v>71</v>
      </c>
      <c r="H42" s="2"/>
      <c r="I42" s="3">
        <v>0</v>
      </c>
      <c r="J42" s="2"/>
    </row>
    <row r="43" spans="1:10" x14ac:dyDescent="0.3">
      <c r="A43" s="2" t="s">
        <v>30</v>
      </c>
      <c r="B43" s="2" t="s">
        <v>201</v>
      </c>
      <c r="C43" s="2" t="s">
        <v>202</v>
      </c>
      <c r="D43" s="2" t="s">
        <v>203</v>
      </c>
      <c r="E43" s="2" t="s">
        <v>62</v>
      </c>
      <c r="F43" s="2" t="s">
        <v>70</v>
      </c>
      <c r="G43" s="2" t="s">
        <v>71</v>
      </c>
      <c r="H43" s="2"/>
      <c r="I43" s="3">
        <v>0</v>
      </c>
      <c r="J43" s="2"/>
    </row>
    <row r="44" spans="1:10" x14ac:dyDescent="0.3">
      <c r="A44" s="2" t="s">
        <v>30</v>
      </c>
      <c r="B44" s="2" t="s">
        <v>204</v>
      </c>
      <c r="C44" s="2" t="s">
        <v>205</v>
      </c>
      <c r="D44" s="2" t="s">
        <v>206</v>
      </c>
      <c r="E44" s="2" t="s">
        <v>62</v>
      </c>
      <c r="F44" s="2" t="s">
        <v>70</v>
      </c>
      <c r="G44" s="2" t="s">
        <v>71</v>
      </c>
      <c r="H44" s="2"/>
      <c r="I44" s="3">
        <v>1</v>
      </c>
      <c r="J44" s="2"/>
    </row>
    <row r="45" spans="1:10" x14ac:dyDescent="0.3">
      <c r="A45" s="2" t="s">
        <v>30</v>
      </c>
      <c r="B45" s="2" t="s">
        <v>207</v>
      </c>
      <c r="C45" s="2" t="s">
        <v>208</v>
      </c>
      <c r="D45" s="2" t="s">
        <v>61</v>
      </c>
      <c r="E45" s="2" t="s">
        <v>62</v>
      </c>
      <c r="F45" s="2" t="s">
        <v>70</v>
      </c>
      <c r="G45" s="2" t="s">
        <v>71</v>
      </c>
      <c r="H45" s="2"/>
      <c r="I45" s="3">
        <v>0</v>
      </c>
      <c r="J45" s="2"/>
    </row>
    <row r="46" spans="1:10" x14ac:dyDescent="0.3">
      <c r="A46" s="2" t="s">
        <v>30</v>
      </c>
      <c r="B46" s="2" t="s">
        <v>209</v>
      </c>
      <c r="C46" s="2" t="s">
        <v>210</v>
      </c>
      <c r="D46" s="2" t="s">
        <v>69</v>
      </c>
      <c r="E46" s="2" t="s">
        <v>62</v>
      </c>
      <c r="F46" s="2" t="s">
        <v>70</v>
      </c>
      <c r="G46" s="2" t="s">
        <v>71</v>
      </c>
      <c r="H46" s="2"/>
      <c r="I46" s="3">
        <v>0</v>
      </c>
      <c r="J46" s="2"/>
    </row>
    <row r="47" spans="1:10" x14ac:dyDescent="0.3">
      <c r="A47" s="2" t="s">
        <v>30</v>
      </c>
      <c r="B47" s="2" t="s">
        <v>211</v>
      </c>
      <c r="C47" s="2" t="s">
        <v>212</v>
      </c>
      <c r="D47" s="2" t="s">
        <v>213</v>
      </c>
      <c r="E47" s="2" t="s">
        <v>62</v>
      </c>
      <c r="F47" s="2" t="s">
        <v>70</v>
      </c>
      <c r="G47" s="2"/>
      <c r="H47" s="2"/>
      <c r="I47" s="3">
        <v>0</v>
      </c>
      <c r="J47" s="2"/>
    </row>
    <row r="48" spans="1:10" x14ac:dyDescent="0.3">
      <c r="A48" s="2" t="s">
        <v>30</v>
      </c>
      <c r="B48" s="2" t="s">
        <v>214</v>
      </c>
      <c r="C48" s="2" t="s">
        <v>215</v>
      </c>
      <c r="D48" s="2" t="s">
        <v>216</v>
      </c>
      <c r="E48" s="2" t="s">
        <v>135</v>
      </c>
      <c r="F48" s="2" t="s">
        <v>63</v>
      </c>
      <c r="G48" s="2"/>
      <c r="H48" s="2"/>
      <c r="I48" s="3">
        <v>1</v>
      </c>
      <c r="J48" s="2"/>
    </row>
    <row r="49" spans="1:10" x14ac:dyDescent="0.3">
      <c r="A49" s="2" t="s">
        <v>30</v>
      </c>
      <c r="B49" s="2" t="s">
        <v>217</v>
      </c>
      <c r="C49" s="2" t="s">
        <v>101</v>
      </c>
      <c r="D49" s="2" t="s">
        <v>102</v>
      </c>
      <c r="E49" s="2" t="s">
        <v>62</v>
      </c>
      <c r="F49" s="2" t="s">
        <v>70</v>
      </c>
      <c r="G49" s="2"/>
      <c r="H49" s="2"/>
      <c r="I49" s="3">
        <v>0</v>
      </c>
      <c r="J49" s="2"/>
    </row>
    <row r="50" spans="1:10" x14ac:dyDescent="0.3">
      <c r="A50" s="2" t="s">
        <v>30</v>
      </c>
      <c r="B50" s="2" t="s">
        <v>218</v>
      </c>
      <c r="C50" s="2" t="s">
        <v>219</v>
      </c>
      <c r="D50" s="2" t="s">
        <v>220</v>
      </c>
      <c r="E50" s="2" t="s">
        <v>62</v>
      </c>
      <c r="F50" s="2" t="s">
        <v>70</v>
      </c>
      <c r="G50" s="2"/>
      <c r="H50" s="2"/>
      <c r="I50" s="3">
        <v>0</v>
      </c>
      <c r="J50" s="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Normal="100" workbookViewId="0">
      <pane ySplit="1" topLeftCell="A2" activePane="bottomLeft" state="frozen"/>
      <selection pane="bottomLeft"/>
    </sheetView>
  </sheetViews>
  <sheetFormatPr defaultColWidth="8.6640625" defaultRowHeight="14.4" x14ac:dyDescent="0.3"/>
  <cols>
    <col min="1" max="1" width="34" customWidth="1"/>
    <col min="2" max="2" width="16" customWidth="1"/>
    <col min="3" max="3" width="28" customWidth="1"/>
    <col min="4" max="4" width="26" customWidth="1"/>
  </cols>
  <sheetData>
    <row r="1" spans="1:4" x14ac:dyDescent="0.3">
      <c r="A1" s="1" t="s">
        <v>221</v>
      </c>
      <c r="B1" s="1" t="s">
        <v>222</v>
      </c>
      <c r="C1" s="1" t="s">
        <v>223</v>
      </c>
      <c r="D1" s="1" t="s">
        <v>224</v>
      </c>
    </row>
    <row r="2" spans="1:4" x14ac:dyDescent="0.3">
      <c r="A2" s="2" t="s">
        <v>225</v>
      </c>
      <c r="B2" s="3">
        <v>41260</v>
      </c>
      <c r="C2" s="2" t="s">
        <v>226</v>
      </c>
      <c r="D2" s="2" t="s">
        <v>227</v>
      </c>
    </row>
    <row r="3" spans="1:4" x14ac:dyDescent="0.3">
      <c r="A3" s="2" t="s">
        <v>228</v>
      </c>
      <c r="B3" s="3">
        <v>26940</v>
      </c>
      <c r="C3" s="4">
        <f>B3/B2</f>
        <v>0.65293262239457106</v>
      </c>
      <c r="D3" s="2" t="s">
        <v>229</v>
      </c>
    </row>
    <row r="4" spans="1:4" x14ac:dyDescent="0.3">
      <c r="A4" s="2" t="s">
        <v>230</v>
      </c>
      <c r="B4" s="3">
        <v>21480</v>
      </c>
      <c r="C4" s="4">
        <f>B4/B3</f>
        <v>0.79732739420935417</v>
      </c>
      <c r="D4" s="2" t="s">
        <v>231</v>
      </c>
    </row>
    <row r="5" spans="1:4" x14ac:dyDescent="0.3">
      <c r="A5" s="2" t="s">
        <v>232</v>
      </c>
      <c r="B5" s="3">
        <v>18420</v>
      </c>
      <c r="C5" s="4">
        <f>B5/B4</f>
        <v>0.85754189944134074</v>
      </c>
      <c r="D5" s="2" t="s">
        <v>233</v>
      </c>
    </row>
    <row r="6" spans="1:4" x14ac:dyDescent="0.3">
      <c r="A6" s="2" t="s">
        <v>234</v>
      </c>
      <c r="B6" s="3">
        <v>11752</v>
      </c>
      <c r="C6" s="4">
        <f>B6/B5</f>
        <v>0.63800217155266015</v>
      </c>
      <c r="D6" s="2" t="s">
        <v>235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zoomScaleNormal="100" workbookViewId="0">
      <pane ySplit="1" topLeftCell="A2" activePane="bottomLeft" state="frozen"/>
      <selection pane="bottomLeft"/>
    </sheetView>
  </sheetViews>
  <sheetFormatPr defaultColWidth="8.6640625" defaultRowHeight="14.4" x14ac:dyDescent="0.3"/>
  <cols>
    <col min="1" max="1" width="16" customWidth="1"/>
    <col min="2" max="2" width="17" customWidth="1"/>
  </cols>
  <sheetData>
    <row r="1" spans="1:2" ht="28.2" x14ac:dyDescent="0.3">
      <c r="A1" s="1" t="s">
        <v>236</v>
      </c>
      <c r="B1" s="1" t="s">
        <v>237</v>
      </c>
    </row>
    <row r="2" spans="1:2" x14ac:dyDescent="0.3">
      <c r="A2" s="2" t="s">
        <v>238</v>
      </c>
      <c r="B2" s="3">
        <v>96</v>
      </c>
    </row>
    <row r="3" spans="1:2" x14ac:dyDescent="0.3">
      <c r="A3" s="2" t="s">
        <v>239</v>
      </c>
      <c r="B3" s="3">
        <v>1014</v>
      </c>
    </row>
    <row r="4" spans="1:2" x14ac:dyDescent="0.3">
      <c r="A4" s="2" t="s">
        <v>240</v>
      </c>
      <c r="B4" s="3">
        <v>431</v>
      </c>
    </row>
    <row r="5" spans="1:2" x14ac:dyDescent="0.3">
      <c r="A5" s="2" t="s">
        <v>241</v>
      </c>
      <c r="B5" s="3">
        <v>505</v>
      </c>
    </row>
    <row r="6" spans="1:2" x14ac:dyDescent="0.3">
      <c r="A6" s="2" t="s">
        <v>242</v>
      </c>
      <c r="B6" s="3">
        <v>280</v>
      </c>
    </row>
    <row r="7" spans="1:2" x14ac:dyDescent="0.3">
      <c r="A7" s="2" t="s">
        <v>243</v>
      </c>
      <c r="B7" s="3">
        <v>1560</v>
      </c>
    </row>
    <row r="8" spans="1:2" x14ac:dyDescent="0.3">
      <c r="A8" s="2" t="s">
        <v>244</v>
      </c>
      <c r="B8" s="3">
        <v>1173</v>
      </c>
    </row>
    <row r="9" spans="1:2" x14ac:dyDescent="0.3">
      <c r="A9" s="2" t="s">
        <v>245</v>
      </c>
      <c r="B9" s="3">
        <v>1622</v>
      </c>
    </row>
    <row r="10" spans="1:2" x14ac:dyDescent="0.3">
      <c r="A10" s="2" t="s">
        <v>246</v>
      </c>
      <c r="B10" s="3">
        <v>896</v>
      </c>
    </row>
    <row r="11" spans="1:2" x14ac:dyDescent="0.3">
      <c r="A11" s="2" t="s">
        <v>247</v>
      </c>
      <c r="B11" s="3">
        <v>1600</v>
      </c>
    </row>
    <row r="12" spans="1:2" x14ac:dyDescent="0.3">
      <c r="A12" s="2" t="s">
        <v>248</v>
      </c>
      <c r="B12" s="3">
        <v>3785</v>
      </c>
    </row>
    <row r="13" spans="1:2" x14ac:dyDescent="0.3">
      <c r="A13" s="2" t="s">
        <v>249</v>
      </c>
      <c r="B13" s="3">
        <v>1776</v>
      </c>
    </row>
    <row r="14" spans="1:2" x14ac:dyDescent="0.3">
      <c r="A14" s="2" t="s">
        <v>250</v>
      </c>
      <c r="B14" s="2" t="s">
        <v>198</v>
      </c>
    </row>
    <row r="15" spans="1:2" x14ac:dyDescent="0.3">
      <c r="A15" s="2" t="s">
        <v>251</v>
      </c>
      <c r="B15" s="3">
        <v>680</v>
      </c>
    </row>
    <row r="16" spans="1:2" x14ac:dyDescent="0.3">
      <c r="A16" s="2" t="s">
        <v>252</v>
      </c>
      <c r="B16" s="3">
        <v>683</v>
      </c>
    </row>
    <row r="17" spans="1:2" x14ac:dyDescent="0.3">
      <c r="A17" s="2" t="s">
        <v>253</v>
      </c>
      <c r="B17" s="3">
        <v>2320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zoomScaleNormal="100" workbookViewId="0">
      <pane ySplit="1" topLeftCell="A2" activePane="bottomLeft" state="frozen"/>
      <selection pane="bottomLeft"/>
    </sheetView>
  </sheetViews>
  <sheetFormatPr defaultColWidth="8.6640625" defaultRowHeight="14.4" x14ac:dyDescent="0.3"/>
  <cols>
    <col min="1" max="1" width="56" customWidth="1"/>
    <col min="2" max="2" width="60" customWidth="1"/>
    <col min="3" max="3" width="20" customWidth="1"/>
    <col min="4" max="5" width="16" customWidth="1"/>
  </cols>
  <sheetData>
    <row r="1" spans="1:5" x14ac:dyDescent="0.3">
      <c r="A1" s="1" t="s">
        <v>254</v>
      </c>
      <c r="B1" s="1" t="s">
        <v>3</v>
      </c>
      <c r="C1" s="1" t="s">
        <v>255</v>
      </c>
      <c r="D1" s="1" t="s">
        <v>256</v>
      </c>
      <c r="E1" s="1" t="s">
        <v>257</v>
      </c>
    </row>
    <row r="2" spans="1:5" x14ac:dyDescent="0.3">
      <c r="A2" s="2" t="s">
        <v>258</v>
      </c>
      <c r="B2" s="2" t="s">
        <v>259</v>
      </c>
      <c r="C2" s="2" t="s">
        <v>260</v>
      </c>
      <c r="D2" s="2" t="s">
        <v>261</v>
      </c>
      <c r="E2" s="2" t="s">
        <v>262</v>
      </c>
    </row>
    <row r="3" spans="1:5" x14ac:dyDescent="0.3">
      <c r="A3" s="2" t="s">
        <v>263</v>
      </c>
      <c r="B3" s="2" t="s">
        <v>264</v>
      </c>
      <c r="C3" s="2" t="s">
        <v>260</v>
      </c>
      <c r="D3" s="2" t="s">
        <v>265</v>
      </c>
      <c r="E3" s="2" t="s">
        <v>262</v>
      </c>
    </row>
    <row r="4" spans="1:5" x14ac:dyDescent="0.3">
      <c r="A4" s="2" t="s">
        <v>266</v>
      </c>
      <c r="B4" s="2" t="s">
        <v>267</v>
      </c>
      <c r="C4" s="2" t="s">
        <v>260</v>
      </c>
      <c r="D4" s="2"/>
      <c r="E4" s="2" t="s">
        <v>268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zoomScaleNormal="100" workbookViewId="0">
      <pane ySplit="1" topLeftCell="A2" activePane="bottomLeft" state="frozen"/>
      <selection pane="bottomLeft"/>
    </sheetView>
  </sheetViews>
  <sheetFormatPr defaultColWidth="8.6640625" defaultRowHeight="14.4" x14ac:dyDescent="0.3"/>
  <cols>
    <col min="1" max="1" width="22" customWidth="1"/>
    <col min="2" max="3" width="16" customWidth="1"/>
  </cols>
  <sheetData>
    <row r="1" spans="1:3" x14ac:dyDescent="0.3">
      <c r="A1" s="1" t="s">
        <v>269</v>
      </c>
      <c r="B1" s="1" t="s">
        <v>270</v>
      </c>
      <c r="C1" s="1" t="s">
        <v>222</v>
      </c>
    </row>
    <row r="2" spans="1:3" x14ac:dyDescent="0.3">
      <c r="A2" s="2" t="s">
        <v>271</v>
      </c>
      <c r="B2" s="3">
        <v>49.7</v>
      </c>
      <c r="C2" s="2" t="s">
        <v>272</v>
      </c>
    </row>
    <row r="3" spans="1:3" x14ac:dyDescent="0.3">
      <c r="A3" s="2" t="s">
        <v>273</v>
      </c>
      <c r="B3" s="3">
        <v>14.3</v>
      </c>
      <c r="C3" s="2" t="s">
        <v>274</v>
      </c>
    </row>
    <row r="4" spans="1:3" x14ac:dyDescent="0.3">
      <c r="A4" s="2" t="s">
        <v>275</v>
      </c>
      <c r="B4" s="3">
        <v>51.7</v>
      </c>
      <c r="C4" s="2" t="s">
        <v>276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zoomScaleNormal="100" workbookViewId="0">
      <pane ySplit="1" topLeftCell="A2" activePane="bottomLeft" state="frozen"/>
      <selection pane="bottomLeft"/>
    </sheetView>
  </sheetViews>
  <sheetFormatPr defaultColWidth="8.6640625" defaultRowHeight="14.4" x14ac:dyDescent="0.3"/>
  <cols>
    <col min="1" max="2" width="16" customWidth="1"/>
    <col min="3" max="3" width="18" customWidth="1"/>
  </cols>
  <sheetData>
    <row r="1" spans="1:3" ht="28.2" x14ac:dyDescent="0.3">
      <c r="A1" s="1" t="s">
        <v>221</v>
      </c>
      <c r="B1" s="1" t="s">
        <v>222</v>
      </c>
      <c r="C1" s="1" t="s">
        <v>277</v>
      </c>
    </row>
    <row r="2" spans="1:3" x14ac:dyDescent="0.3">
      <c r="A2" s="2" t="s">
        <v>278</v>
      </c>
      <c r="B2" s="3">
        <v>11368</v>
      </c>
      <c r="C2" s="2"/>
    </row>
    <row r="3" spans="1:3" x14ac:dyDescent="0.3">
      <c r="A3" s="2" t="s">
        <v>279</v>
      </c>
      <c r="B3" s="3">
        <v>3002</v>
      </c>
      <c r="C3" s="2" t="s">
        <v>280</v>
      </c>
    </row>
    <row r="4" spans="1:3" x14ac:dyDescent="0.3">
      <c r="A4" s="2" t="s">
        <v>281</v>
      </c>
      <c r="B4" s="3">
        <v>903</v>
      </c>
      <c r="C4" s="2" t="s">
        <v>282</v>
      </c>
    </row>
    <row r="5" spans="1:3" x14ac:dyDescent="0.3">
      <c r="A5" s="2" t="s">
        <v>283</v>
      </c>
      <c r="B5" s="3">
        <v>332</v>
      </c>
      <c r="C5" s="2" t="s">
        <v>284</v>
      </c>
    </row>
    <row r="6" spans="1:3" x14ac:dyDescent="0.3">
      <c r="A6" s="2" t="s">
        <v>285</v>
      </c>
      <c r="B6" s="3">
        <v>50</v>
      </c>
      <c r="C6" s="2" t="s">
        <v>286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zoomScaleNormal="100" workbookViewId="0">
      <pane ySplit="1" topLeftCell="A2" activePane="bottomLeft" state="frozen"/>
      <selection pane="bottomLeft"/>
    </sheetView>
  </sheetViews>
  <sheetFormatPr defaultColWidth="8.6640625" defaultRowHeight="14.4" x14ac:dyDescent="0.3"/>
  <cols>
    <col min="1" max="1" width="28" customWidth="1"/>
    <col min="2" max="2" width="16" customWidth="1"/>
    <col min="3" max="3" width="21" customWidth="1"/>
    <col min="4" max="4" width="16" customWidth="1"/>
  </cols>
  <sheetData>
    <row r="1" spans="1:4" ht="28.2" x14ac:dyDescent="0.3">
      <c r="A1" s="1" t="s">
        <v>287</v>
      </c>
      <c r="B1" s="1" t="s">
        <v>288</v>
      </c>
      <c r="C1" s="1" t="s">
        <v>289</v>
      </c>
      <c r="D1" s="1" t="s">
        <v>290</v>
      </c>
    </row>
    <row r="2" spans="1:4" x14ac:dyDescent="0.3">
      <c r="A2" s="2" t="s">
        <v>291</v>
      </c>
      <c r="B2" s="2" t="s">
        <v>292</v>
      </c>
      <c r="C2" s="2" t="s">
        <v>293</v>
      </c>
      <c r="D2" s="2" t="s">
        <v>294</v>
      </c>
    </row>
    <row r="3" spans="1:4" x14ac:dyDescent="0.3">
      <c r="A3" s="2" t="s">
        <v>295</v>
      </c>
      <c r="B3" s="2" t="s">
        <v>296</v>
      </c>
      <c r="C3" s="2" t="s">
        <v>293</v>
      </c>
      <c r="D3" s="2" t="s">
        <v>297</v>
      </c>
    </row>
    <row r="4" spans="1:4" x14ac:dyDescent="0.3">
      <c r="A4" s="2" t="s">
        <v>298</v>
      </c>
      <c r="B4" s="2" t="s">
        <v>299</v>
      </c>
      <c r="C4" s="2" t="s">
        <v>300</v>
      </c>
      <c r="D4" s="2" t="s">
        <v>301</v>
      </c>
    </row>
    <row r="5" spans="1:4" x14ac:dyDescent="0.3">
      <c r="A5" s="2" t="s">
        <v>302</v>
      </c>
      <c r="B5" s="2" t="s">
        <v>303</v>
      </c>
      <c r="C5" s="2" t="s">
        <v>304</v>
      </c>
      <c r="D5" s="2" t="s">
        <v>305</v>
      </c>
    </row>
    <row r="6" spans="1:4" x14ac:dyDescent="0.3">
      <c r="A6" s="2" t="s">
        <v>306</v>
      </c>
      <c r="B6" s="2" t="s">
        <v>307</v>
      </c>
      <c r="C6" s="2" t="s">
        <v>308</v>
      </c>
      <c r="D6" s="2" t="s">
        <v>309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zoomScaleNormal="100" workbookViewId="0">
      <pane ySplit="1" topLeftCell="A2" activePane="bottomLeft" state="frozen"/>
      <selection pane="bottomLeft"/>
    </sheetView>
  </sheetViews>
  <sheetFormatPr defaultColWidth="8.6640625" defaultRowHeight="14.4" x14ac:dyDescent="0.3"/>
  <cols>
    <col min="1" max="1" width="25" customWidth="1"/>
    <col min="2" max="2" width="16" customWidth="1"/>
    <col min="3" max="3" width="19" customWidth="1"/>
    <col min="4" max="4" width="16" customWidth="1"/>
  </cols>
  <sheetData>
    <row r="1" spans="1:4" x14ac:dyDescent="0.3">
      <c r="A1" s="1" t="s">
        <v>310</v>
      </c>
      <c r="B1" s="1" t="s">
        <v>311</v>
      </c>
      <c r="C1" s="1" t="s">
        <v>312</v>
      </c>
      <c r="D1" s="1" t="s">
        <v>313</v>
      </c>
    </row>
    <row r="2" spans="1:4" x14ac:dyDescent="0.3">
      <c r="A2" s="2" t="s">
        <v>314</v>
      </c>
      <c r="B2" s="3">
        <v>0.7</v>
      </c>
      <c r="C2" s="3">
        <v>66</v>
      </c>
      <c r="D2" s="3">
        <v>1</v>
      </c>
    </row>
    <row r="3" spans="1:4" x14ac:dyDescent="0.3">
      <c r="A3" s="2" t="s">
        <v>315</v>
      </c>
      <c r="B3" s="3">
        <v>1</v>
      </c>
      <c r="C3" s="3">
        <v>69</v>
      </c>
      <c r="D3" s="3">
        <v>1</v>
      </c>
    </row>
    <row r="4" spans="1:4" x14ac:dyDescent="0.3">
      <c r="A4" s="2" t="s">
        <v>316</v>
      </c>
      <c r="B4" s="3">
        <v>15</v>
      </c>
      <c r="C4" s="3">
        <v>68</v>
      </c>
      <c r="D4" s="3">
        <v>22</v>
      </c>
    </row>
    <row r="5" spans="1:4" x14ac:dyDescent="0.3">
      <c r="A5" s="2" t="s">
        <v>317</v>
      </c>
      <c r="B5" s="3">
        <v>1</v>
      </c>
      <c r="C5" s="3">
        <v>70</v>
      </c>
      <c r="D5" s="3">
        <v>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
  <sheetViews>
    <sheetView zoomScaleNormal="100" workbookViewId="0">
      <pane ySplit="1" topLeftCell="A2" activePane="bottomLeft" state="frozen"/>
      <selection pane="bottomLeft"/>
    </sheetView>
  </sheetViews>
  <sheetFormatPr defaultColWidth="8.6640625" defaultRowHeight="14.4" x14ac:dyDescent="0.3"/>
  <cols>
    <col min="1" max="1" width="32" customWidth="1"/>
    <col min="2" max="2" width="16" customWidth="1"/>
    <col min="3" max="3" width="34" customWidth="1"/>
  </cols>
  <sheetData>
    <row r="1" spans="1:3" x14ac:dyDescent="0.3">
      <c r="A1" s="1" t="s">
        <v>318</v>
      </c>
      <c r="B1" s="1" t="s">
        <v>52</v>
      </c>
      <c r="C1" s="1" t="s">
        <v>319</v>
      </c>
    </row>
    <row r="2" spans="1:3" x14ac:dyDescent="0.3">
      <c r="A2" s="2" t="s">
        <v>320</v>
      </c>
      <c r="B2" s="2" t="s">
        <v>321</v>
      </c>
      <c r="C2" s="2" t="s">
        <v>322</v>
      </c>
    </row>
    <row r="3" spans="1:3" x14ac:dyDescent="0.3">
      <c r="A3" s="2" t="s">
        <v>323</v>
      </c>
      <c r="B3" s="2" t="s">
        <v>324</v>
      </c>
      <c r="C3" s="2" t="s">
        <v>325</v>
      </c>
    </row>
    <row r="4" spans="1:3" x14ac:dyDescent="0.3">
      <c r="A4" s="2" t="s">
        <v>326</v>
      </c>
      <c r="B4" s="2" t="s">
        <v>327</v>
      </c>
      <c r="C4" s="2" t="s">
        <v>328</v>
      </c>
    </row>
    <row r="5" spans="1:3" x14ac:dyDescent="0.3">
      <c r="A5" s="2" t="s">
        <v>329</v>
      </c>
      <c r="B5" s="2" t="s">
        <v>330</v>
      </c>
      <c r="C5" s="2" t="s">
        <v>331</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zoomScaleNormal="100" workbookViewId="0">
      <pane ySplit="1" topLeftCell="A2" activePane="bottomLeft" state="frozen"/>
      <selection pane="bottomLeft"/>
    </sheetView>
  </sheetViews>
  <sheetFormatPr defaultColWidth="8.6640625" defaultRowHeight="14.4" x14ac:dyDescent="0.3"/>
  <cols>
    <col min="1" max="1" width="34" customWidth="1"/>
    <col min="2" max="3" width="16" customWidth="1"/>
  </cols>
  <sheetData>
    <row r="1" spans="1:3" x14ac:dyDescent="0.3">
      <c r="A1" s="1" t="s">
        <v>332</v>
      </c>
      <c r="B1" s="1" t="s">
        <v>333</v>
      </c>
      <c r="C1" s="1" t="s">
        <v>334</v>
      </c>
    </row>
    <row r="2" spans="1:3" x14ac:dyDescent="0.3">
      <c r="A2" s="2" t="s">
        <v>335</v>
      </c>
      <c r="B2" s="3">
        <v>2</v>
      </c>
      <c r="C2" s="3">
        <v>1</v>
      </c>
    </row>
    <row r="3" spans="1:3" x14ac:dyDescent="0.3">
      <c r="A3" s="2" t="s">
        <v>336</v>
      </c>
      <c r="B3" s="3">
        <v>1</v>
      </c>
      <c r="C3" s="3">
        <v>0</v>
      </c>
    </row>
    <row r="4" spans="1:3" x14ac:dyDescent="0.3">
      <c r="A4" s="2" t="s">
        <v>337</v>
      </c>
      <c r="B4" s="3">
        <v>46</v>
      </c>
      <c r="C4" s="3">
        <v>14</v>
      </c>
    </row>
    <row r="5" spans="1:3" x14ac:dyDescent="0.3">
      <c r="A5" s="2" t="s">
        <v>338</v>
      </c>
      <c r="B5" s="3">
        <v>38</v>
      </c>
      <c r="C5" s="3">
        <v>9</v>
      </c>
    </row>
    <row r="6" spans="1:3" x14ac:dyDescent="0.3">
      <c r="A6" s="2" t="s">
        <v>339</v>
      </c>
      <c r="B6" s="3">
        <v>46</v>
      </c>
      <c r="C6" s="3">
        <v>0</v>
      </c>
    </row>
    <row r="7" spans="1:3" x14ac:dyDescent="0.3">
      <c r="A7" s="2" t="s">
        <v>340</v>
      </c>
      <c r="B7" s="3">
        <v>4</v>
      </c>
      <c r="C7" s="3">
        <v>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
  <sheetViews>
    <sheetView zoomScaleNormal="100" workbookViewId="0">
      <pane ySplit="1" topLeftCell="A2" activePane="bottomLeft" state="frozen"/>
      <selection pane="bottomLeft"/>
    </sheetView>
  </sheetViews>
  <sheetFormatPr defaultColWidth="8.6640625" defaultRowHeight="14.4" x14ac:dyDescent="0.3"/>
  <cols>
    <col min="1" max="1" width="19" customWidth="1"/>
    <col min="2" max="2" width="16" customWidth="1"/>
    <col min="3" max="3" width="57" customWidth="1"/>
  </cols>
  <sheetData>
    <row r="1" spans="1:3" x14ac:dyDescent="0.3">
      <c r="A1" s="1" t="s">
        <v>341</v>
      </c>
      <c r="B1" s="1" t="s">
        <v>342</v>
      </c>
      <c r="C1" s="1" t="s">
        <v>343</v>
      </c>
    </row>
    <row r="2" spans="1:3" x14ac:dyDescent="0.3">
      <c r="A2" s="2" t="s">
        <v>344</v>
      </c>
      <c r="B2" s="3">
        <v>81</v>
      </c>
      <c r="C2" s="2" t="s">
        <v>345</v>
      </c>
    </row>
    <row r="3" spans="1:3" x14ac:dyDescent="0.3">
      <c r="A3" s="2" t="s">
        <v>346</v>
      </c>
      <c r="B3" s="3">
        <v>68</v>
      </c>
      <c r="C3" s="2" t="s">
        <v>347</v>
      </c>
    </row>
    <row r="4" spans="1:3" x14ac:dyDescent="0.3">
      <c r="A4" s="2" t="s">
        <v>348</v>
      </c>
      <c r="B4" s="3">
        <v>64</v>
      </c>
      <c r="C4" s="2" t="s">
        <v>349</v>
      </c>
    </row>
    <row r="5" spans="1:3" x14ac:dyDescent="0.3">
      <c r="A5" s="2" t="s">
        <v>350</v>
      </c>
      <c r="B5" s="3">
        <v>44</v>
      </c>
      <c r="C5" s="2" t="s">
        <v>351</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
  <sheetViews>
    <sheetView zoomScaleNormal="100" workbookViewId="0">
      <pane ySplit="1" topLeftCell="A2" activePane="bottomLeft" state="frozen"/>
      <selection pane="bottomLeft"/>
    </sheetView>
  </sheetViews>
  <sheetFormatPr defaultColWidth="8.6640625" defaultRowHeight="14.4" x14ac:dyDescent="0.3"/>
  <cols>
    <col min="1" max="1" width="27" customWidth="1"/>
    <col min="2" max="3" width="16" customWidth="1"/>
  </cols>
  <sheetData>
    <row r="1" spans="1:3" x14ac:dyDescent="0.3">
      <c r="A1" s="1" t="s">
        <v>318</v>
      </c>
      <c r="B1" s="1" t="s">
        <v>52</v>
      </c>
      <c r="C1" s="1" t="s">
        <v>352</v>
      </c>
    </row>
    <row r="2" spans="1:3" x14ac:dyDescent="0.3">
      <c r="A2" s="2" t="s">
        <v>353</v>
      </c>
      <c r="B2" s="2" t="s">
        <v>354</v>
      </c>
      <c r="C2" s="2" t="s">
        <v>355</v>
      </c>
    </row>
    <row r="3" spans="1:3" x14ac:dyDescent="0.3">
      <c r="A3" s="2" t="s">
        <v>356</v>
      </c>
      <c r="B3" s="2" t="s">
        <v>357</v>
      </c>
      <c r="C3" s="2" t="s">
        <v>358</v>
      </c>
    </row>
    <row r="4" spans="1:3" x14ac:dyDescent="0.3">
      <c r="A4" s="2" t="s">
        <v>359</v>
      </c>
      <c r="B4" s="2" t="s">
        <v>360</v>
      </c>
      <c r="C4" s="2" t="s">
        <v>361</v>
      </c>
    </row>
    <row r="5" spans="1:3" x14ac:dyDescent="0.3">
      <c r="A5" s="2" t="s">
        <v>362</v>
      </c>
      <c r="B5" s="2" t="s">
        <v>363</v>
      </c>
      <c r="C5" s="2" t="s">
        <v>364</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zoomScaleNormal="100" workbookViewId="0"/>
  </sheetViews>
  <sheetFormatPr defaultColWidth="8.6640625" defaultRowHeight="14.4" x14ac:dyDescent="0.3"/>
  <sheetData>
    <row r="1" spans="1:1" x14ac:dyDescent="0.3">
      <c r="A1" t="s">
        <v>365</v>
      </c>
    </row>
    <row r="2" spans="1:1" x14ac:dyDescent="0.3">
      <c r="A2" t="s">
        <v>366</v>
      </c>
    </row>
    <row r="3" spans="1:1" x14ac:dyDescent="0.3">
      <c r="A3" t="s">
        <v>367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Screens</vt:lpstr>
      <vt:lpstr>KPIs</vt:lpstr>
      <vt:lpstr>Funnel</vt:lpstr>
      <vt:lpstr>StateMap</vt:lpstr>
      <vt:lpstr>Alerts</vt:lpstr>
      <vt:lpstr>Segments</vt:lpstr>
      <vt:lpstr>imSME_Funnel</vt:lpstr>
      <vt:lpstr>Benchmarks</vt:lpstr>
      <vt:lpstr>PFI</vt:lpstr>
      <vt:lpstr>Governance</vt:lpstr>
      <vt:lpstr>Exceptions</vt:lpstr>
      <vt:lpstr>Disclosure</vt:lpstr>
      <vt:lpstr>OwnOps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Ardeahsyah Alimudin</cp:lastModifiedBy>
  <cp:revision>0</cp:revision>
  <dcterms:created xsi:type="dcterms:W3CDTF">2026-09-30T19:57:34Z</dcterms:created>
  <dcterms:modified xsi:type="dcterms:W3CDTF">2026-09-30T20:05:04Z</dcterms:modified>
  <dc:language>en-US</dc:language>
</cp:coreProperties>
</file>