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reens" sheetId="1" state="visible" r:id="rId3"/>
    <sheet name="KPIs" sheetId="2" state="visible" r:id="rId4"/>
    <sheet name="Funnel" sheetId="3" state="visible" r:id="rId5"/>
    <sheet name="StateMap" sheetId="4" state="visible" r:id="rId6"/>
    <sheet name="Alerts" sheetId="5" state="visible" r:id="rId7"/>
    <sheet name="Segments" sheetId="6" state="visible" r:id="rId8"/>
    <sheet name="imSME_Funnel" sheetId="7" state="visible" r:id="rId9"/>
    <sheet name="Benchmarks" sheetId="8" state="visible" r:id="rId10"/>
    <sheet name="PFI" sheetId="9" state="visible" r:id="rId11"/>
    <sheet name="Governance" sheetId="10" state="visible" r:id="rId12"/>
    <sheet name="Exceptions" sheetId="11" state="visible" r:id="rId13"/>
    <sheet name="Disclosure" sheetId="12" state="visible" r:id="rId14"/>
    <sheet name="OwnOps" sheetId="13" state="visible" r:id="rId15"/>
    <sheet name="ReadMe"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<sst xmlns="http://schemas.openxmlformats.org/spreadsheetml/2006/main" count="583" uniqueCount="369">
  <si>
    <t xml:space="preserve">id</t>
  </si>
  <si>
    <t xml:space="preserve">Menu label</t>
  </si>
  <si>
    <t xml:space="preserve">Page title</t>
  </si>
  <si>
    <t xml:space="preserve">Description</t>
  </si>
  <si>
    <t xml:space="preserve">Performance lens</t>
  </si>
  <si>
    <t xml:space="preserve">Default filter</t>
  </si>
  <si>
    <t xml:space="preserve">cockpit</t>
  </si>
  <si>
    <t xml:space="preserve">Board Cockpit</t>
  </si>
  <si>
    <t xml:space="preserve">Chairman / Board Sustainable MSME Impact &amp; Guarantee Intelligence Cockpit</t>
  </si>
  <si>
    <t xml:space="preserve">One-screen executive view: how much financing CGC is enabling, whether underserved MSMEs are reached, how much impact is created, whether the guarantee book stays financially sustainable, and which exceptions need Board attention.</t>
  </si>
  <si>
    <t xml:space="preserve">Performance lens: showing every hero card and panel against target, % of target, change vs YTD 2025 and RAG status.</t>
  </si>
  <si>
    <t xml:space="preserve">inclusion</t>
  </si>
  <si>
    <t xml:space="preserve">Inclusion &amp; Additionality</t>
  </si>
  <si>
    <t xml:space="preserve">MSME Financial Inclusion &amp; Additionality</t>
  </si>
  <si>
    <t xml:space="preserve">Evidence that CGC is reaching MSMEs the market would not finance on its own — constrained, collateral-short, first-time and underserved borrowers — and that they graduate towards independent bankability.</t>
  </si>
  <si>
    <t xml:space="preserve">Performance lens: showing achievement against target, % of target, change vs YTD 2025 and RAG status.</t>
  </si>
  <si>
    <t xml:space="preserve">Kelantan</t>
  </si>
  <si>
    <t xml:space="preserve">esg</t>
  </si>
  <si>
    <t xml:space="preserve">ESG-Linked Portfolio</t>
  </si>
  <si>
    <t xml:space="preserve">ESG-linked guarantee volumes against public targets.</t>
  </si>
  <si>
    <t xml:space="preserve">Performance lens: showing achievement against target.</t>
  </si>
  <si>
    <t xml:space="preserve">ccpt</t>
  </si>
  <si>
    <t xml:space="preserve">CCPT &amp; Climate Risk</t>
  </si>
  <si>
    <t xml:space="preserve">CCPT, Climate Risk &amp; Transition Monitor</t>
  </si>
  <si>
    <t xml:space="preserve">BNM CCPT classification of the guarantee book, the quality of the evidence behind it, and the physical and transition risk carried by MSME exposures. Assessment coverage is always shown so missing data is never read as low risk.</t>
  </si>
  <si>
    <t xml:space="preserve">Performance lens: showing CCPT assessment coverage against target.</t>
  </si>
  <si>
    <t xml:space="preserve">impact</t>
  </si>
  <si>
    <t xml:space="preserve">Development Impact</t>
  </si>
  <si>
    <t xml:space="preserve">Socio-Economic &amp; Development Impact</t>
  </si>
  <si>
    <t xml:space="preserve">What guaranteed financing and developmental programmes produce in the real economy: jobs, value added, growth, survival, graduation and capability uplift — each with its evidence basis exposed.</t>
  </si>
  <si>
    <t xml:space="preserve">pfi</t>
  </si>
  <si>
    <t xml:space="preserve">PFI Intelligence</t>
  </si>
  <si>
    <t xml:space="preserve">PFI Partnership &amp; Guarantee Performance Intelligence</t>
  </si>
  <si>
    <t xml:space="preserve">How each participating financial institution converts CGC allocation into financing, reach and additionality — assessed against contract targets and peer ranges, never as a league table.</t>
  </si>
  <si>
    <t xml:space="preserve">Performance lens: showing utilisation against contract target per PFI, as peer ranges — never rankings.</t>
  </si>
  <si>
    <t xml:space="preserve">imsme</t>
  </si>
  <si>
    <t xml:space="preserve">imSME &amp; Experience</t>
  </si>
  <si>
    <t xml:space="preserve">Digital Inclusion, imSME &amp; Customer Experience</t>
  </si>
  <si>
    <t xml:space="preserve">Whether the digital marketplace converts MSME demand into financing, and whether service performance holds against CGC's published charter benchmarks.</t>
  </si>
  <si>
    <t xml:space="preserve">gov</t>
  </si>
  <si>
    <t xml:space="preserve">Governance &amp; Risk</t>
  </si>
  <si>
    <t xml:space="preserve">Governance, Risk, Financial Sustainability &amp; Board Oversight</t>
  </si>
  <si>
    <t xml:space="preserve">Whether the guarantee mandate is being delivered within appetite, within budget and within control — capital and claims performance beside conduct, compliance, resilience and Board follow-through.</t>
  </si>
  <si>
    <t xml:space="preserve">people</t>
  </si>
  <si>
    <t xml:space="preserve">People &amp; Disclosure</t>
  </si>
  <si>
    <t xml:space="preserve">People, Own Operations, ESG Data &amp; Disclosure Readiness</t>
  </si>
  <si>
    <t xml:space="preserve">CGC's own workforce, operational footprint and — most consequentially for the Board — whether the sustainability data behind every other screen is complete, current and assurance-ready under the NSRF.</t>
  </si>
  <si>
    <t xml:space="preserve">alerts</t>
  </si>
  <si>
    <t xml:space="preserve">All alerts</t>
  </si>
  <si>
    <t xml:space="preserve">Every open exception requiring Board or management attention.</t>
  </si>
  <si>
    <t xml:space="preserve">Screen</t>
  </si>
  <si>
    <t xml:space="preserve">Indicator</t>
  </si>
  <si>
    <t xml:space="preserve">Value</t>
  </si>
  <si>
    <t xml:space="preserve">Delta</t>
  </si>
  <si>
    <t xml:space="preserve">Direction</t>
  </si>
  <si>
    <t xml:space="preserve">RAG status (ok/watch/off/none)</t>
  </si>
  <si>
    <t xml:space="preserve">Tags (|)</t>
  </si>
  <si>
    <t xml:space="preserve">Footnote</t>
  </si>
  <si>
    <t xml:space="preserve">Sparkline (1/0)</t>
  </si>
  <si>
    <t xml:space="preserve">Progress</t>
  </si>
  <si>
    <t xml:space="preserve">Financing Enabled by CGC Guarantees</t>
  </si>
  <si>
    <t xml:space="preserve">RM 5.42 bn</t>
  </si>
  <si>
    <t xml:space="preserve">+8.6% vs YTD 2025</t>
  </si>
  <si>
    <t xml:space="preserve">up</t>
  </si>
  <si>
    <t xml:space="preserve">ok</t>
  </si>
  <si>
    <t xml:space="preserve">73% OF TARGET|ILLUSTRATIVE TARGET|DEMO DATA</t>
  </si>
  <si>
    <t xml:space="preserve">Approved RM 5.42bn · availed RM 4.11bn · outstanding RM 3.38bn</t>
  </si>
  <si>
    <t xml:space="preserve">5.42 / target 7.4</t>
  </si>
  <si>
    <t xml:space="preserve">MSMEs Supported YTD</t>
  </si>
  <si>
    <t xml:space="preserve">18,420</t>
  </si>
  <si>
    <t xml:space="preserve">+11.4% vs YTD 2025</t>
  </si>
  <si>
    <t xml:space="preserve">none</t>
  </si>
  <si>
    <t xml:space="preserve">TREND ONLY|TARGET NOT SET|DEMO DATA</t>
  </si>
  <si>
    <t xml:space="preserve">34% new-to-CGC · rolling 12M 22,860</t>
  </si>
  <si>
    <t xml:space="preserve">ESG-Linked Guarantees</t>
  </si>
  <si>
    <t xml:space="preserve">RM 1.46 bn</t>
  </si>
  <si>
    <t xml:space="preserve">+RM 260m YTD</t>
  </si>
  <si>
    <t xml:space="preserve">146% OF TARGET|VERIFIED PUBLIC TARGET|DEMO DATA</t>
  </si>
  <si>
    <t xml:space="preserve">14.8% of guarantee portfolio · prior roadmap target RM1bn — reported RM1.2bn (Aug 2026)</t>
  </si>
  <si>
    <t xml:space="preserve">1.46 / target 1</t>
  </si>
  <si>
    <t xml:space="preserve">Jobs Supported</t>
  </si>
  <si>
    <t xml:space="preserve">214,800</t>
  </si>
  <si>
    <t xml:space="preserve">+6.9% vs YTD 2025</t>
  </si>
  <si>
    <t xml:space="preserve">Evidence confidence: medium (58% PFI-reported)</t>
  </si>
  <si>
    <t xml:space="preserve">Guarantee Leverage Ratio</t>
  </si>
  <si>
    <t xml:space="preserve">1.62x</t>
  </si>
  <si>
    <t xml:space="preserve">+0.07x vs YTD 2025</t>
  </si>
  <si>
    <t xml:space="preserve">PERFORMANCE VS TARGET|ILLUSTRATIVE TARGET|DEMO DATA</t>
  </si>
  <si>
    <t xml:space="preserve">Financing enabled RM 15.97bn / exposure RM 9.86bn (cumulative)</t>
  </si>
  <si>
    <t xml:space="preserve">CGC Group 2030 Strategic KPI Achievement</t>
  </si>
  <si>
    <t xml:space="preserve">68%</t>
  </si>
  <si>
    <t xml:space="preserve">+5 pts QoQ</t>
  </si>
  <si>
    <t xml:space="preserve">9 strategic priorities · 4 on track, 3 watch, 2 at risk</t>
  </si>
  <si>
    <t xml:space="preserve">14.8% of guarantee portfolio</t>
  </si>
  <si>
    <t xml:space="preserve">MSME Applications / Cases Assessed</t>
  </si>
  <si>
    <t xml:space="preserve">965</t>
  </si>
  <si>
    <t xml:space="preserve">+9.1% vs YTD 2025</t>
  </si>
  <si>
    <t xml:space="preserve">Financing-Constrained MSMEs Identified</t>
  </si>
  <si>
    <t xml:space="preserve">630</t>
  </si>
  <si>
    <t xml:space="preserve">— 65% of assessed</t>
  </si>
  <si>
    <t xml:space="preserve">flat</t>
  </si>
  <si>
    <t xml:space="preserve">CGC-Backed Approval Conversion</t>
  </si>
  <si>
    <t xml:space="preserve">61.3%</t>
  </si>
  <si>
    <t xml:space="preserve">+1.6 pts vs YTD 2025</t>
  </si>
  <si>
    <t xml:space="preserve">Illustrative control threshold 55%</t>
  </si>
  <si>
    <t xml:space="preserve">First-Time Formal Finance Recipients</t>
  </si>
  <si>
    <t xml:space="preserve">143</t>
  </si>
  <si>
    <t xml:space="preserve">+12.4% vs YTD 2025</t>
  </si>
  <si>
    <t xml:space="preserve">Previously Declined / Unserved MSMEs Enabled</t>
  </si>
  <si>
    <t xml:space="preserve">81</t>
  </si>
  <si>
    <t xml:space="preserve">+7.8% vs YTD 2025</t>
  </si>
  <si>
    <t xml:space="preserve">Collateral-Constrained MSMEs Supported</t>
  </si>
  <si>
    <t xml:space="preserve">274</t>
  </si>
  <si>
    <t xml:space="preserve">+5.2% vs YTD 2025</t>
  </si>
  <si>
    <t xml:space="preserve">Unsecured / Low-Collateral Financing Enabled</t>
  </si>
  <si>
    <t xml:space="preserve">RM 0.09 bn</t>
  </si>
  <si>
    <t xml:space="preserve">+RM 310m vs YTD 2025</t>
  </si>
  <si>
    <t xml:space="preserve">Microenterprise Reach</t>
  </si>
  <si>
    <t xml:space="preserve">209</t>
  </si>
  <si>
    <t xml:space="preserve">+10.2% vs YTD 2025</t>
  </si>
  <si>
    <t xml:space="preserve">CCPT Assessment Coverage</t>
  </si>
  <si>
    <t xml:space="preserve">74.9%</t>
  </si>
  <si>
    <t xml:space="preserve">+8.1 pts QoQ</t>
  </si>
  <si>
    <t xml:space="preserve">watch</t>
  </si>
  <si>
    <t xml:space="preserve">83% OF TARGET|ILLUSTRATIVE TARGET|DEMO DATA</t>
  </si>
  <si>
    <t xml:space="preserve">% of guarantee exposure CCPT-assessed · illustrative threshold 90%</t>
  </si>
  <si>
    <t xml:space="preserve">74.94 / target 90</t>
  </si>
  <si>
    <t xml:space="preserve">Climate Supporting Exposure</t>
  </si>
  <si>
    <t xml:space="preserve">RM 0.06 bn</t>
  </si>
  <si>
    <t xml:space="preserve">+3.4 pts vs YTD 2025</t>
  </si>
  <si>
    <t xml:space="preserve">Transitioning Exposure</t>
  </si>
  <si>
    <t xml:space="preserve">RM 0.13 bn</t>
  </si>
  <si>
    <t xml:space="preserve">+1.1 pts vs YTD 2025</t>
  </si>
  <si>
    <t xml:space="preserve">Watchlist Exposure</t>
  </si>
  <si>
    <t xml:space="preserve">RM 0.04 bn</t>
  </si>
  <si>
    <t xml:space="preserve">−0.9 pts vs YTD 2025</t>
  </si>
  <si>
    <t xml:space="preserve">down</t>
  </si>
  <si>
    <t xml:space="preserve">GP1 — Climate Mitigation Assessment</t>
  </si>
  <si>
    <t xml:space="preserve">68% complete</t>
  </si>
  <si>
    <t xml:space="preserve">+7 pts QoQ</t>
  </si>
  <si>
    <t xml:space="preserve">68% OF TARGET|ILLUSTRATIVE TARGET|DEMO DATA</t>
  </si>
  <si>
    <t xml:space="preserve">Illustrative completion threshold 90%</t>
  </si>
  <si>
    <t xml:space="preserve">GP2 — Climate Adaptation Assessment</t>
  </si>
  <si>
    <t xml:space="preserve">62% complete</t>
  </si>
  <si>
    <t xml:space="preserve">GP3 — No Significant Harm Assessment</t>
  </si>
  <si>
    <t xml:space="preserve">71% complete</t>
  </si>
  <si>
    <t xml:space="preserve">+4 pts QoQ</t>
  </si>
  <si>
    <t xml:space="preserve">Illustrative completion threshold 95%</t>
  </si>
  <si>
    <t xml:space="preserve">GP4 — Remedial Measures to Transition</t>
  </si>
  <si>
    <t xml:space="preserve">47% complete</t>
  </si>
  <si>
    <t xml:space="preserve">+3 pts QoQ</t>
  </si>
  <si>
    <t xml:space="preserve">off</t>
  </si>
  <si>
    <t xml:space="preserve">55% OF TARGET|ILLUSTRATIVE TARGET|DEMO DATA</t>
  </si>
  <si>
    <t xml:space="preserve">Illustrative completion threshold 85%</t>
  </si>
  <si>
    <t xml:space="preserve">Transition Plan Coverage</t>
  </si>
  <si>
    <t xml:space="preserve">52%</t>
  </si>
  <si>
    <t xml:space="preserve">+9 pts QoQ</t>
  </si>
  <si>
    <t xml:space="preserve">Overdue Transition Actions</t>
  </si>
  <si>
    <t xml:space="preserve">1 overdue</t>
  </si>
  <si>
    <t xml:space="preserve">+6 vs YTD 2025</t>
  </si>
  <si>
    <t xml:space="preserve">Illustrative: zero actions overdue beyond 90 days</t>
  </si>
  <si>
    <t xml:space="preserve">Physical Climate-Risk Exposure</t>
  </si>
  <si>
    <t xml:space="preserve">RM 0.08 bn</t>
  </si>
  <si>
    <t xml:space="preserve">+RM 120m vs YTD 2025</t>
  </si>
  <si>
    <t xml:space="preserve">TREND ONLY|TARGET NOT SET|DEMO DATA|MODEL ESTIMATE</t>
  </si>
  <si>
    <t xml:space="preserve">Flood-Exposed MSMEs</t>
  </si>
  <si>
    <t xml:space="preserve">133 · RM 0.04 bn</t>
  </si>
  <si>
    <t xml:space="preserve">+3.1% vs YTD 2025</t>
  </si>
  <si>
    <t xml:space="preserve">Transition-Risk / Carbon-Sensitive Exposure</t>
  </si>
  <si>
    <t xml:space="preserve">Climate-Related ECL / Risk Adjustment</t>
  </si>
  <si>
    <t xml:space="preserve">RM 2 m</t>
  </si>
  <si>
    <t xml:space="preserve">Climate Scenario Stress Loss</t>
  </si>
  <si>
    <t xml:space="preserve">RM 10 m</t>
  </si>
  <si>
    <t xml:space="preserve">Revenue Growth of Supported MSMEs</t>
  </si>
  <si>
    <t xml:space="preserve">Median +11.9%</t>
  </si>
  <si>
    <t xml:space="preserve">Export Growth / New Exporters</t>
  </si>
  <si>
    <t xml:space="preserve">11 new exporters</t>
  </si>
  <si>
    <t xml:space="preserve">+62 vs YTD 2025</t>
  </si>
  <si>
    <t xml:space="preserve">Productivity Improvement</t>
  </si>
  <si>
    <t xml:space="preserve">Index 111.6</t>
  </si>
  <si>
    <t xml:space="preserve">Business Survival Rate</t>
  </si>
  <si>
    <t xml:space="preserve">95.1% at 24 months</t>
  </si>
  <si>
    <t xml:space="preserve">+0.8 pts vs YTD 2025</t>
  </si>
  <si>
    <t xml:space="preserve">Micro-to-Small Graduation</t>
  </si>
  <si>
    <t xml:space="preserve">8.6%</t>
  </si>
  <si>
    <t xml:space="preserve">+0.7 pts vs YTD 2025</t>
  </si>
  <si>
    <t xml:space="preserve">Small-to-Medium Graduation</t>
  </si>
  <si>
    <t xml:space="preserve">2.7%</t>
  </si>
  <si>
    <t xml:space="preserve">+0.2 pts vs YTD 2025</t>
  </si>
  <si>
    <t xml:space="preserve">Digital Capability Uplift</t>
  </si>
  <si>
    <t xml:space="preserve">+19 pts maturity</t>
  </si>
  <si>
    <t xml:space="preserve">+18 pts post-programme</t>
  </si>
  <si>
    <t xml:space="preserve">Developmental Programme Participants</t>
  </si>
  <si>
    <t xml:space="preserve">289</t>
  </si>
  <si>
    <t xml:space="preserve">+14% vs YTD 2025</t>
  </si>
  <si>
    <t xml:space="preserve">TREND ONLY|HISTORICAL BASELINE|DEMO DATA</t>
  </si>
  <si>
    <t xml:space="preserve">Developmental Programme Completion</t>
  </si>
  <si>
    <t xml:space="preserve">40.3%</t>
  </si>
  <si>
    <t xml:space="preserve">Post-Programme Financing Access</t>
  </si>
  <si>
    <t xml:space="preserve">—</t>
  </si>
  <si>
    <t xml:space="preserve">TPUB-i Development Impact</t>
  </si>
  <si>
    <t xml:space="preserve">RM 6 m · 46 MSMEs</t>
  </si>
  <si>
    <t xml:space="preserve">PFI Programme Allocation</t>
  </si>
  <si>
    <t xml:space="preserve">RM 0.4 bn</t>
  </si>
  <si>
    <t xml:space="preserve">+RM 1.6bn vs YTD 2025</t>
  </si>
  <si>
    <t xml:space="preserve">PFI Utilisation Rate</t>
  </si>
  <si>
    <t xml:space="preserve">66.9%</t>
  </si>
  <si>
    <t xml:space="preserve">+4.2 pts vs YTD 2025</t>
  </si>
  <si>
    <t xml:space="preserve">Financing Enabled by PFI</t>
  </si>
  <si>
    <t xml:space="preserve">RM 0.18 bn</t>
  </si>
  <si>
    <t xml:space="preserve">MSMEs Supported by PFI</t>
  </si>
  <si>
    <t xml:space="preserve">431</t>
  </si>
  <si>
    <t xml:space="preserve">Average Guarantee Coverage</t>
  </si>
  <si>
    <t xml:space="preserve">68.3%</t>
  </si>
  <si>
    <t xml:space="preserve">+1.2 pts vs YTD 2025</t>
  </si>
  <si>
    <t xml:space="preserve">Approval / Turnaround Time</t>
  </si>
  <si>
    <t xml:space="preserve">Median 3.9 days</t>
  </si>
  <si>
    <t xml:space="preserve">−0.6 days vs YTD 2025</t>
  </si>
  <si>
    <t xml:space="preserve">PFI Approval Conversion</t>
  </si>
  <si>
    <t xml:space="preserve">ESG-Linked Financing by PFI</t>
  </si>
  <si>
    <t xml:space="preserve">RM 0.05 bn</t>
  </si>
  <si>
    <t xml:space="preserve">+21.6% vs YTD 2025</t>
  </si>
  <si>
    <t xml:space="preserve">Stage</t>
  </si>
  <si>
    <t xml:space="preserve">Count</t>
  </si>
  <si>
    <t xml:space="preserve">% of previous stage (calc)</t>
  </si>
  <si>
    <t xml:space="preserve">Sub-label</t>
  </si>
  <si>
    <t xml:space="preserve">Applications assessed</t>
  </si>
  <si>
    <t xml:space="preserve">n/a</t>
  </si>
  <si>
    <t xml:space="preserve">All origination channels</t>
  </si>
  <si>
    <t xml:space="preserve">Financing-constrained identified</t>
  </si>
  <si>
    <t xml:space="preserve">of assessed</t>
  </si>
  <si>
    <t xml:space="preserve">CGC-supported</t>
  </si>
  <si>
    <t xml:space="preserve">of constrained</t>
  </si>
  <si>
    <t xml:space="preserve">Financed</t>
  </si>
  <si>
    <t xml:space="preserve">of supported</t>
  </si>
  <si>
    <t xml:space="preserve">Assessed as additional</t>
  </si>
  <si>
    <t xml:space="preserve">additionality rate</t>
  </si>
  <si>
    <t xml:space="preserve">State code</t>
  </si>
  <si>
    <t xml:space="preserve">MSMEs supported</t>
  </si>
  <si>
    <t xml:space="preserve">PLS</t>
  </si>
  <si>
    <t xml:space="preserve">KDH</t>
  </si>
  <si>
    <t xml:space="preserve">KTN</t>
  </si>
  <si>
    <t xml:space="preserve">TRG</t>
  </si>
  <si>
    <t xml:space="preserve">LBN</t>
  </si>
  <si>
    <t xml:space="preserve">SBH</t>
  </si>
  <si>
    <t xml:space="preserve">PNG</t>
  </si>
  <si>
    <t xml:space="preserve">PRK</t>
  </si>
  <si>
    <t xml:space="preserve">PHG</t>
  </si>
  <si>
    <t xml:space="preserve">SWK</t>
  </si>
  <si>
    <t xml:space="preserve">SGR</t>
  </si>
  <si>
    <t xml:space="preserve">KUL</t>
  </si>
  <si>
    <t xml:space="preserve">PJY</t>
  </si>
  <si>
    <t xml:space="preserve">NSN</t>
  </si>
  <si>
    <t xml:space="preserve">MLK</t>
  </si>
  <si>
    <t xml:space="preserve">JHR</t>
  </si>
  <si>
    <t xml:space="preserve">Title</t>
  </si>
  <si>
    <t xml:space="preserve">Owner</t>
  </si>
  <si>
    <t xml:space="preserve">Due</t>
  </si>
  <si>
    <t xml:space="preserve">Severity</t>
  </si>
  <si>
    <t xml:space="preserve">GP4 remedial measures lag Watchlist exposure</t>
  </si>
  <si>
    <t xml:space="preserve">Only 48% of Watchlist and Transitioning cases carry recorded remedial measures; 39 actions overdue, 6 beyond 90 days.</t>
  </si>
  <si>
    <t xml:space="preserve">Chief Risk Officer</t>
  </si>
  <si>
    <t xml:space="preserve">15 Oct 2026</t>
  </si>
  <si>
    <t xml:space="preserve">High</t>
  </si>
  <si>
    <t xml:space="preserve">Two open risk-appetite breaches (sector concentration)</t>
  </si>
  <si>
    <t xml:space="preserve">Both relate to sector concentration in the guarantee book. Oldest breach is 41 days without an approved remediation plan.</t>
  </si>
  <si>
    <t xml:space="preserve">30 Sept 2026</t>
  </si>
  <si>
    <t xml:space="preserve">39 transition actions overdue</t>
  </si>
  <si>
    <t xml:space="preserve">Aging: 21 within 30 days, 12 at 31-90 days and 6 beyond 90 days.</t>
  </si>
  <si>
    <t xml:space="preserve">Medium</t>
  </si>
  <si>
    <t xml:space="preserve">Segment</t>
  </si>
  <si>
    <t xml:space="preserve">Share %</t>
  </si>
  <si>
    <t xml:space="preserve">Microenterprises</t>
  </si>
  <si>
    <t xml:space="preserve">251 MSMEs</t>
  </si>
  <si>
    <t xml:space="preserve">First-time borrowers</t>
  </si>
  <si>
    <t xml:space="preserve">72 MSMEs</t>
  </si>
  <si>
    <t xml:space="preserve">New-to-CGC</t>
  </si>
  <si>
    <t xml:space="preserve">261 MSMEs</t>
  </si>
  <si>
    <t xml:space="preserve">Conversion shown</t>
  </si>
  <si>
    <t xml:space="preserve">Visits</t>
  </si>
  <si>
    <t xml:space="preserve">Registered</t>
  </si>
  <si>
    <t xml:space="preserve">26.4%</t>
  </si>
  <si>
    <t xml:space="preserve">Matches</t>
  </si>
  <si>
    <t xml:space="preserve">30.1%</t>
  </si>
  <si>
    <t xml:space="preserve">Applications</t>
  </si>
  <si>
    <t xml:space="preserve">36.8%</t>
  </si>
  <si>
    <t xml:space="preserve">Approvals</t>
  </si>
  <si>
    <t xml:space="preserve">15.1%</t>
  </si>
  <si>
    <t xml:space="preserve">Measure</t>
  </si>
  <si>
    <t xml:space="preserve">Current (demo)</t>
  </si>
  <si>
    <t xml:space="preserve">Published benchmark</t>
  </si>
  <si>
    <t xml:space="preserve">2024 actual</t>
  </si>
  <si>
    <t xml:space="preserve">First call resolution</t>
  </si>
  <si>
    <t xml:space="preserve">94.8%</t>
  </si>
  <si>
    <t xml:space="preserve">80% target</t>
  </si>
  <si>
    <t xml:space="preserve">96% (2024)</t>
  </si>
  <si>
    <t xml:space="preserve">Calls answered ≤20 seconds</t>
  </si>
  <si>
    <t xml:space="preserve">98.4%</t>
  </si>
  <si>
    <t xml:space="preserve">99% (2024)</t>
  </si>
  <si>
    <t xml:space="preserve">Abandoned calls</t>
  </si>
  <si>
    <t xml:space="preserve">0.09%</t>
  </si>
  <si>
    <t xml:space="preserve">5% threshold</t>
  </si>
  <si>
    <t xml:space="preserve">0.06% (2024)</t>
  </si>
  <si>
    <t xml:space="preserve">Complaint resolution</t>
  </si>
  <si>
    <t xml:space="preserve">4.3 days</t>
  </si>
  <si>
    <t xml:space="preserve">10-day charter</t>
  </si>
  <si>
    <t xml:space="preserve">4 days (2024)</t>
  </si>
  <si>
    <t xml:space="preserve">Customer satisfaction</t>
  </si>
  <si>
    <t xml:space="preserve">94%</t>
  </si>
  <si>
    <t xml:space="preserve">80% benchmark</t>
  </si>
  <si>
    <t xml:space="preserve">CSI 95% (2024)</t>
  </si>
  <si>
    <t xml:space="preserve">PFI</t>
  </si>
  <si>
    <t xml:space="preserve">Utilisation %</t>
  </si>
  <si>
    <t xml:space="preserve">Contract target %</t>
  </si>
  <si>
    <t xml:space="preserve">% of target</t>
  </si>
  <si>
    <t xml:space="preserve">PFI A — Commercial Bank</t>
  </si>
  <si>
    <t xml:space="preserve">PFI B — Islamic Bank</t>
  </si>
  <si>
    <t xml:space="preserve">PFI C — Commercial Bank</t>
  </si>
  <si>
    <t xml:space="preserve">PFI E — Commercial Bank</t>
  </si>
  <si>
    <t xml:space="preserve">Metric</t>
  </si>
  <si>
    <t xml:space="preserve">Note</t>
  </si>
  <si>
    <t xml:space="preserve">Claims ratio</t>
  </si>
  <si>
    <t xml:space="preserve">91.4%</t>
  </si>
  <si>
    <t xml:space="preserve">FY2024: 98.6%</t>
  </si>
  <si>
    <t xml:space="preserve">Guarantee reserve ratio</t>
  </si>
  <si>
    <t xml:space="preserve">1.9x</t>
  </si>
  <si>
    <t xml:space="preserve">FY2024: 1.6x (prior target 2.8x)</t>
  </si>
  <si>
    <t xml:space="preserve">Expected credit loss</t>
  </si>
  <si>
    <t xml:space="preserve">RM 412 m</t>
  </si>
  <si>
    <t xml:space="preserve">+RM 18m QoQ</t>
  </si>
  <si>
    <t xml:space="preserve">Financial sustainability ratio</t>
  </si>
  <si>
    <t xml:space="preserve">0.51</t>
  </si>
  <si>
    <t xml:space="preserve">FY2024: 0.45</t>
  </si>
  <si>
    <t xml:space="preserve">Type</t>
  </si>
  <si>
    <t xml:space="preserve">Open</t>
  </si>
  <si>
    <t xml:space="preserve">Overdue</t>
  </si>
  <si>
    <t xml:space="preserve">Risk appetite breaches</t>
  </si>
  <si>
    <t xml:space="preserve">Regulatory / compliance breaches</t>
  </si>
  <si>
    <t xml:space="preserve">Internal audit actions</t>
  </si>
  <si>
    <t xml:space="preserve">Board / management actions</t>
  </si>
  <si>
    <t xml:space="preserve">AML/CFT alerts</t>
  </si>
  <si>
    <t xml:space="preserve">Cyber &amp; privacy incidents</t>
  </si>
  <si>
    <t xml:space="preserve">Pillar</t>
  </si>
  <si>
    <t xml:space="preserve">Readiness %</t>
  </si>
  <si>
    <t xml:space="preserve">Binding gap</t>
  </si>
  <si>
    <t xml:space="preserve">Governance</t>
  </si>
  <si>
    <t xml:space="preserve">Board climate-competency mapping outstanding</t>
  </si>
  <si>
    <t xml:space="preserve">Strategy</t>
  </si>
  <si>
    <t xml:space="preserve">Scenario analysis disclosure not yet drafted</t>
  </si>
  <si>
    <t xml:space="preserve">Risk management</t>
  </si>
  <si>
    <t xml:space="preserve">Climate risk integrated into ICAAP only partially</t>
  </si>
  <si>
    <t xml:space="preserve">Metrics &amp; targets</t>
  </si>
  <si>
    <t xml:space="preserve">Financed-emissions baseline and targets not established</t>
  </si>
  <si>
    <t xml:space="preserve">YoY</t>
  </si>
  <si>
    <t xml:space="preserve">Scope 1</t>
  </si>
  <si>
    <t xml:space="preserve">412 tCO₂e</t>
  </si>
  <si>
    <t xml:space="preserve">−6.4% YoY</t>
  </si>
  <si>
    <t xml:space="preserve">Scope 2 (location-based)</t>
  </si>
  <si>
    <t xml:space="preserve">2,180 tCO₂e</t>
  </si>
  <si>
    <t xml:space="preserve">−4.1% YoY</t>
  </si>
  <si>
    <t xml:space="preserve">Business travel (Scope 3)</t>
  </si>
  <si>
    <t xml:space="preserve">318 tCO₂e</t>
  </si>
  <si>
    <t xml:space="preserve">+8.2% YoY</t>
  </si>
  <si>
    <t xml:space="preserve">Electricity</t>
  </si>
  <si>
    <t xml:space="preserve">3,062 MWh</t>
  </si>
  <si>
    <t xml:space="preserve">−3.8% YoY</t>
  </si>
  <si>
    <t xml:space="preserve">All figures are DEMO DATA transcribed from the screenshots (Kelantan filter on screens 2-9).</t>
  </si>
  <si>
    <t xml:space="preserve">Edit blue cells; Funnel column C is a formula.</t>
  </si>
  <si>
    <t xml:space="preserve">data.js mirrors these sheets — re-export after editing.</t>
  </si>
</sst>
</file>

<file path=xl/styles.xml><?xml version="1.0" encoding="utf-8"?>
<styleSheet xmlns="http://schemas.openxmlformats.org/spreadsheetml/2006/main">
  <numFmts count="2">
    <numFmt numFmtId="164" formatCode="General"/>
    <numFmt numFmtId="165"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1"/>
      <name val="Arial"/>
      <family val="0"/>
      <charset val="1"/>
    </font>
    <font>
      <sz val="11"/>
      <color rgb="FF0000FF"/>
      <name val="Arial"/>
      <family val="0"/>
      <charset val="1"/>
    </font>
  </fonts>
  <fills count="3">
    <fill>
      <patternFill patternType="none"/>
    </fill>
    <fill>
      <patternFill patternType="gray125"/>
    </fill>
    <fill>
      <patternFill patternType="solid">
        <fgColor rgb="FF0F2A47"/>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F2A4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7"/>
    <col collapsed="false" customWidth="true" hidden="false" outlineLevel="0" max="5" min="3" style="0" width="60"/>
    <col collapsed="false" customWidth="true" hidden="false" outlineLevel="0" max="6" min="6" style="0" width="16"/>
  </cols>
  <sheetData>
    <row r="1" customFormat="false" ht="15" hidden="false" customHeight="false" outlineLevel="0" collapsed="false">
      <c r="A1" s="1" t="s">
        <v>0</v>
      </c>
      <c r="B1" s="1" t="s">
        <v>1</v>
      </c>
      <c r="C1" s="1" t="s">
        <v>2</v>
      </c>
      <c r="D1" s="1" t="s">
        <v>3</v>
      </c>
      <c r="E1" s="1" t="s">
        <v>4</v>
      </c>
      <c r="F1" s="1" t="s">
        <v>5</v>
      </c>
    </row>
    <row r="2" customFormat="false" ht="15" hidden="false" customHeight="false" outlineLevel="0" collapsed="false">
      <c r="A2" s="2" t="s">
        <v>6</v>
      </c>
      <c r="B2" s="2" t="s">
        <v>7</v>
      </c>
      <c r="C2" s="2" t="s">
        <v>8</v>
      </c>
      <c r="D2" s="2" t="s">
        <v>9</v>
      </c>
      <c r="E2" s="2" t="s">
        <v>10</v>
      </c>
      <c r="F2" s="2"/>
    </row>
    <row r="3" customFormat="false" ht="15" hidden="false" customHeight="false" outlineLevel="0" collapsed="false">
      <c r="A3" s="2" t="s">
        <v>11</v>
      </c>
      <c r="B3" s="2" t="s">
        <v>12</v>
      </c>
      <c r="C3" s="2" t="s">
        <v>13</v>
      </c>
      <c r="D3" s="2" t="s">
        <v>14</v>
      </c>
      <c r="E3" s="2" t="s">
        <v>15</v>
      </c>
      <c r="F3" s="2" t="s">
        <v>16</v>
      </c>
    </row>
    <row r="4" customFormat="false" ht="15" hidden="false" customHeight="false" outlineLevel="0" collapsed="false">
      <c r="A4" s="2" t="s">
        <v>17</v>
      </c>
      <c r="B4" s="2" t="s">
        <v>18</v>
      </c>
      <c r="C4" s="2" t="s">
        <v>18</v>
      </c>
      <c r="D4" s="2" t="s">
        <v>19</v>
      </c>
      <c r="E4" s="2" t="s">
        <v>20</v>
      </c>
      <c r="F4" s="2" t="s">
        <v>16</v>
      </c>
    </row>
    <row r="5" customFormat="false" ht="15" hidden="false" customHeight="false" outlineLevel="0" collapsed="false">
      <c r="A5" s="2" t="s">
        <v>21</v>
      </c>
      <c r="B5" s="2" t="s">
        <v>22</v>
      </c>
      <c r="C5" s="2" t="s">
        <v>23</v>
      </c>
      <c r="D5" s="2" t="s">
        <v>24</v>
      </c>
      <c r="E5" s="2" t="s">
        <v>25</v>
      </c>
      <c r="F5" s="2" t="s">
        <v>16</v>
      </c>
    </row>
    <row r="6" customFormat="false" ht="15" hidden="false" customHeight="false" outlineLevel="0" collapsed="false">
      <c r="A6" s="2" t="s">
        <v>26</v>
      </c>
      <c r="B6" s="2" t="s">
        <v>27</v>
      </c>
      <c r="C6" s="2" t="s">
        <v>28</v>
      </c>
      <c r="D6" s="2" t="s">
        <v>29</v>
      </c>
      <c r="E6" s="2" t="s">
        <v>15</v>
      </c>
      <c r="F6" s="2" t="s">
        <v>16</v>
      </c>
    </row>
    <row r="7" customFormat="false" ht="15" hidden="false" customHeight="false" outlineLevel="0" collapsed="false">
      <c r="A7" s="2" t="s">
        <v>30</v>
      </c>
      <c r="B7" s="2" t="s">
        <v>31</v>
      </c>
      <c r="C7" s="2" t="s">
        <v>32</v>
      </c>
      <c r="D7" s="2" t="s">
        <v>33</v>
      </c>
      <c r="E7" s="2" t="s">
        <v>34</v>
      </c>
      <c r="F7" s="2" t="s">
        <v>16</v>
      </c>
    </row>
    <row r="8" customFormat="false" ht="15" hidden="false" customHeight="false" outlineLevel="0" collapsed="false">
      <c r="A8" s="2" t="s">
        <v>35</v>
      </c>
      <c r="B8" s="2" t="s">
        <v>36</v>
      </c>
      <c r="C8" s="2" t="s">
        <v>37</v>
      </c>
      <c r="D8" s="2" t="s">
        <v>38</v>
      </c>
      <c r="E8" s="2" t="s">
        <v>15</v>
      </c>
      <c r="F8" s="2" t="s">
        <v>16</v>
      </c>
    </row>
    <row r="9" customFormat="false" ht="15" hidden="false" customHeight="false" outlineLevel="0" collapsed="false">
      <c r="A9" s="2" t="s">
        <v>39</v>
      </c>
      <c r="B9" s="2" t="s">
        <v>40</v>
      </c>
      <c r="C9" s="2" t="s">
        <v>41</v>
      </c>
      <c r="D9" s="2" t="s">
        <v>42</v>
      </c>
      <c r="E9" s="2" t="s">
        <v>15</v>
      </c>
      <c r="F9" s="2" t="s">
        <v>16</v>
      </c>
    </row>
    <row r="10" customFormat="false" ht="15" hidden="false" customHeight="false" outlineLevel="0" collapsed="false">
      <c r="A10" s="2" t="s">
        <v>43</v>
      </c>
      <c r="B10" s="2" t="s">
        <v>44</v>
      </c>
      <c r="C10" s="2" t="s">
        <v>45</v>
      </c>
      <c r="D10" s="2" t="s">
        <v>46</v>
      </c>
      <c r="E10" s="2" t="s">
        <v>15</v>
      </c>
      <c r="F10" s="2" t="s">
        <v>16</v>
      </c>
    </row>
    <row r="11" customFormat="false" ht="15" hidden="false" customHeight="false" outlineLevel="0" collapsed="false">
      <c r="A11" s="2" t="s">
        <v>47</v>
      </c>
      <c r="B11" s="2" t="s">
        <v>48</v>
      </c>
      <c r="C11" s="2" t="s">
        <v>48</v>
      </c>
      <c r="D11" s="2" t="s">
        <v>49</v>
      </c>
      <c r="E11" s="2"/>
      <c r="F1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20"/>
    <col collapsed="false" customWidth="true" hidden="false" outlineLevel="0" max="4" min="4" style="0" width="24"/>
    <col collapsed="false" customWidth="true" hidden="false" outlineLevel="0" max="5" min="5" style="0" width="16"/>
    <col collapsed="false" customWidth="true" hidden="false" outlineLevel="0" max="6" min="6" style="0" width="32"/>
    <col collapsed="false" customWidth="true" hidden="false" outlineLevel="0" max="7" min="7" style="0" width="53"/>
    <col collapsed="false" customWidth="true" hidden="false" outlineLevel="0" max="8" min="8" style="0" width="60"/>
    <col collapsed="false" customWidth="true" hidden="false" outlineLevel="0" max="9" min="9" style="0" width="17"/>
    <col collapsed="false" customWidth="true" hidden="false" outlineLevel="0" max="10" min="10" style="0" width="19"/>
  </cols>
  <sheetData>
    <row r="1" customFormat="false" ht="15" hidden="false" customHeight="false" outlineLevel="0" collapsed="false">
      <c r="A1" s="1" t="s">
        <v>50</v>
      </c>
      <c r="B1" s="1" t="s">
        <v>51</v>
      </c>
      <c r="C1" s="1" t="s">
        <v>52</v>
      </c>
      <c r="D1" s="1" t="s">
        <v>53</v>
      </c>
      <c r="E1" s="1" t="s">
        <v>54</v>
      </c>
      <c r="F1" s="1" t="s">
        <v>55</v>
      </c>
      <c r="G1" s="1" t="s">
        <v>56</v>
      </c>
      <c r="H1" s="1" t="s">
        <v>57</v>
      </c>
      <c r="I1" s="1" t="s">
        <v>58</v>
      </c>
      <c r="J1" s="1" t="s">
        <v>59</v>
      </c>
    </row>
    <row r="2" customFormat="false" ht="15" hidden="false" customHeight="false" outlineLevel="0" collapsed="false">
      <c r="A2" s="2" t="s">
        <v>6</v>
      </c>
      <c r="B2" s="2" t="s">
        <v>60</v>
      </c>
      <c r="C2" s="2" t="s">
        <v>61</v>
      </c>
      <c r="D2" s="2" t="s">
        <v>62</v>
      </c>
      <c r="E2" s="2" t="s">
        <v>63</v>
      </c>
      <c r="F2" s="2" t="s">
        <v>64</v>
      </c>
      <c r="G2" s="2" t="s">
        <v>65</v>
      </c>
      <c r="H2" s="2" t="s">
        <v>66</v>
      </c>
      <c r="I2" s="3" t="n">
        <v>0</v>
      </c>
      <c r="J2" s="2" t="s">
        <v>67</v>
      </c>
    </row>
    <row r="3" customFormat="false" ht="15" hidden="false" customHeight="false" outlineLevel="0" collapsed="false">
      <c r="A3" s="2" t="s">
        <v>6</v>
      </c>
      <c r="B3" s="2" t="s">
        <v>68</v>
      </c>
      <c r="C3" s="2" t="s">
        <v>69</v>
      </c>
      <c r="D3" s="2" t="s">
        <v>70</v>
      </c>
      <c r="E3" s="2" t="s">
        <v>63</v>
      </c>
      <c r="F3" s="2" t="s">
        <v>71</v>
      </c>
      <c r="G3" s="2" t="s">
        <v>72</v>
      </c>
      <c r="H3" s="2" t="s">
        <v>73</v>
      </c>
      <c r="I3" s="3" t="n">
        <v>1</v>
      </c>
      <c r="J3" s="2"/>
    </row>
    <row r="4" customFormat="false" ht="15" hidden="false" customHeight="false" outlineLevel="0" collapsed="false">
      <c r="A4" s="2" t="s">
        <v>6</v>
      </c>
      <c r="B4" s="2" t="s">
        <v>74</v>
      </c>
      <c r="C4" s="2" t="s">
        <v>75</v>
      </c>
      <c r="D4" s="2" t="s">
        <v>76</v>
      </c>
      <c r="E4" s="2" t="s">
        <v>63</v>
      </c>
      <c r="F4" s="2" t="s">
        <v>64</v>
      </c>
      <c r="G4" s="2" t="s">
        <v>77</v>
      </c>
      <c r="H4" s="2" t="s">
        <v>78</v>
      </c>
      <c r="I4" s="3" t="n">
        <v>0</v>
      </c>
      <c r="J4" s="2" t="s">
        <v>79</v>
      </c>
    </row>
    <row r="5" customFormat="false" ht="15" hidden="false" customHeight="false" outlineLevel="0" collapsed="false">
      <c r="A5" s="2" t="s">
        <v>6</v>
      </c>
      <c r="B5" s="2" t="s">
        <v>80</v>
      </c>
      <c r="C5" s="2" t="s">
        <v>81</v>
      </c>
      <c r="D5" s="2" t="s">
        <v>82</v>
      </c>
      <c r="E5" s="2" t="s">
        <v>63</v>
      </c>
      <c r="F5" s="2" t="s">
        <v>71</v>
      </c>
      <c r="G5" s="2" t="s">
        <v>72</v>
      </c>
      <c r="H5" s="2" t="s">
        <v>83</v>
      </c>
      <c r="I5" s="3" t="n">
        <v>1</v>
      </c>
      <c r="J5" s="2"/>
    </row>
    <row r="6" customFormat="false" ht="15" hidden="false" customHeight="false" outlineLevel="0" collapsed="false">
      <c r="A6" s="2" t="s">
        <v>6</v>
      </c>
      <c r="B6" s="2" t="s">
        <v>84</v>
      </c>
      <c r="C6" s="2" t="s">
        <v>85</v>
      </c>
      <c r="D6" s="2" t="s">
        <v>86</v>
      </c>
      <c r="E6" s="2" t="s">
        <v>63</v>
      </c>
      <c r="F6" s="2" t="s">
        <v>64</v>
      </c>
      <c r="G6" s="2" t="s">
        <v>87</v>
      </c>
      <c r="H6" s="2" t="s">
        <v>88</v>
      </c>
      <c r="I6" s="3" t="n">
        <v>1</v>
      </c>
      <c r="J6" s="2"/>
    </row>
    <row r="7" customFormat="false" ht="15" hidden="false" customHeight="false" outlineLevel="0" collapsed="false">
      <c r="A7" s="2" t="s">
        <v>6</v>
      </c>
      <c r="B7" s="2" t="s">
        <v>89</v>
      </c>
      <c r="C7" s="2" t="s">
        <v>90</v>
      </c>
      <c r="D7" s="2" t="s">
        <v>91</v>
      </c>
      <c r="E7" s="2" t="s">
        <v>63</v>
      </c>
      <c r="F7" s="2" t="s">
        <v>71</v>
      </c>
      <c r="G7" s="2" t="s">
        <v>72</v>
      </c>
      <c r="H7" s="2" t="s">
        <v>92</v>
      </c>
      <c r="I7" s="3" t="n">
        <v>0</v>
      </c>
      <c r="J7" s="2"/>
    </row>
    <row r="8" customFormat="false" ht="15" hidden="false" customHeight="false" outlineLevel="0" collapsed="false">
      <c r="A8" s="2" t="s">
        <v>17</v>
      </c>
      <c r="B8" s="2" t="s">
        <v>74</v>
      </c>
      <c r="C8" s="2" t="s">
        <v>75</v>
      </c>
      <c r="D8" s="2" t="s">
        <v>76</v>
      </c>
      <c r="E8" s="2" t="s">
        <v>63</v>
      </c>
      <c r="F8" s="2" t="s">
        <v>64</v>
      </c>
      <c r="G8" s="2" t="s">
        <v>77</v>
      </c>
      <c r="H8" s="2" t="s">
        <v>93</v>
      </c>
      <c r="I8" s="3" t="n">
        <v>0</v>
      </c>
      <c r="J8" s="2" t="s">
        <v>79</v>
      </c>
    </row>
    <row r="9" customFormat="false" ht="15" hidden="false" customHeight="false" outlineLevel="0" collapsed="false">
      <c r="A9" s="2" t="s">
        <v>11</v>
      </c>
      <c r="B9" s="2" t="s">
        <v>94</v>
      </c>
      <c r="C9" s="2" t="s">
        <v>95</v>
      </c>
      <c r="D9" s="2" t="s">
        <v>96</v>
      </c>
      <c r="E9" s="2" t="s">
        <v>63</v>
      </c>
      <c r="F9" s="2" t="s">
        <v>71</v>
      </c>
      <c r="G9" s="2" t="s">
        <v>72</v>
      </c>
      <c r="H9" s="2"/>
      <c r="I9" s="3" t="n">
        <v>1</v>
      </c>
      <c r="J9" s="2"/>
    </row>
    <row r="10" customFormat="false" ht="15" hidden="false" customHeight="false" outlineLevel="0" collapsed="false">
      <c r="A10" s="2" t="s">
        <v>11</v>
      </c>
      <c r="B10" s="2" t="s">
        <v>97</v>
      </c>
      <c r="C10" s="2" t="s">
        <v>98</v>
      </c>
      <c r="D10" s="2" t="s">
        <v>99</v>
      </c>
      <c r="E10" s="2" t="s">
        <v>100</v>
      </c>
      <c r="F10" s="2" t="s">
        <v>71</v>
      </c>
      <c r="G10" s="2" t="s">
        <v>72</v>
      </c>
      <c r="H10" s="2"/>
      <c r="I10" s="3" t="n">
        <v>0</v>
      </c>
      <c r="J10" s="2"/>
    </row>
    <row r="11" customFormat="false" ht="15" hidden="false" customHeight="false" outlineLevel="0" collapsed="false">
      <c r="A11" s="2" t="s">
        <v>11</v>
      </c>
      <c r="B11" s="2" t="s">
        <v>101</v>
      </c>
      <c r="C11" s="2" t="s">
        <v>102</v>
      </c>
      <c r="D11" s="2" t="s">
        <v>103</v>
      </c>
      <c r="E11" s="2" t="s">
        <v>63</v>
      </c>
      <c r="F11" s="2" t="s">
        <v>64</v>
      </c>
      <c r="G11" s="2" t="s">
        <v>87</v>
      </c>
      <c r="H11" s="2" t="s">
        <v>104</v>
      </c>
      <c r="I11" s="3" t="n">
        <v>1</v>
      </c>
      <c r="J11" s="2"/>
    </row>
    <row r="12" customFormat="false" ht="15" hidden="false" customHeight="false" outlineLevel="0" collapsed="false">
      <c r="A12" s="2" t="s">
        <v>11</v>
      </c>
      <c r="B12" s="2" t="s">
        <v>105</v>
      </c>
      <c r="C12" s="2" t="s">
        <v>106</v>
      </c>
      <c r="D12" s="2" t="s">
        <v>107</v>
      </c>
      <c r="E12" s="2" t="s">
        <v>63</v>
      </c>
      <c r="F12" s="2" t="s">
        <v>71</v>
      </c>
      <c r="G12" s="2" t="s">
        <v>72</v>
      </c>
      <c r="H12" s="2"/>
      <c r="I12" s="3" t="n">
        <v>1</v>
      </c>
      <c r="J12" s="2"/>
    </row>
    <row r="13" customFormat="false" ht="15" hidden="false" customHeight="false" outlineLevel="0" collapsed="false">
      <c r="A13" s="2" t="s">
        <v>11</v>
      </c>
      <c r="B13" s="2" t="s">
        <v>108</v>
      </c>
      <c r="C13" s="2" t="s">
        <v>109</v>
      </c>
      <c r="D13" s="2" t="s">
        <v>110</v>
      </c>
      <c r="E13" s="2" t="s">
        <v>63</v>
      </c>
      <c r="F13" s="2" t="s">
        <v>71</v>
      </c>
      <c r="G13" s="2" t="s">
        <v>72</v>
      </c>
      <c r="H13" s="2"/>
      <c r="I13" s="3" t="n">
        <v>0</v>
      </c>
      <c r="J13" s="2"/>
    </row>
    <row r="14" customFormat="false" ht="15" hidden="false" customHeight="false" outlineLevel="0" collapsed="false">
      <c r="A14" s="2" t="s">
        <v>11</v>
      </c>
      <c r="B14" s="2" t="s">
        <v>111</v>
      </c>
      <c r="C14" s="2" t="s">
        <v>112</v>
      </c>
      <c r="D14" s="2" t="s">
        <v>113</v>
      </c>
      <c r="E14" s="2" t="s">
        <v>63</v>
      </c>
      <c r="F14" s="2" t="s">
        <v>71</v>
      </c>
      <c r="G14" s="2" t="s">
        <v>72</v>
      </c>
      <c r="H14" s="2"/>
      <c r="I14" s="3" t="n">
        <v>0</v>
      </c>
      <c r="J14" s="2"/>
    </row>
    <row r="15" customFormat="false" ht="15" hidden="false" customHeight="false" outlineLevel="0" collapsed="false">
      <c r="A15" s="2" t="s">
        <v>11</v>
      </c>
      <c r="B15" s="2" t="s">
        <v>114</v>
      </c>
      <c r="C15" s="2" t="s">
        <v>115</v>
      </c>
      <c r="D15" s="2" t="s">
        <v>116</v>
      </c>
      <c r="E15" s="2" t="s">
        <v>63</v>
      </c>
      <c r="F15" s="2" t="s">
        <v>71</v>
      </c>
      <c r="G15" s="2" t="s">
        <v>72</v>
      </c>
      <c r="H15" s="2"/>
      <c r="I15" s="3" t="n">
        <v>0</v>
      </c>
      <c r="J15" s="2"/>
    </row>
    <row r="16" customFormat="false" ht="15" hidden="false" customHeight="false" outlineLevel="0" collapsed="false">
      <c r="A16" s="2" t="s">
        <v>11</v>
      </c>
      <c r="B16" s="2" t="s">
        <v>117</v>
      </c>
      <c r="C16" s="2" t="s">
        <v>118</v>
      </c>
      <c r="D16" s="2" t="s">
        <v>119</v>
      </c>
      <c r="E16" s="2" t="s">
        <v>63</v>
      </c>
      <c r="F16" s="2" t="s">
        <v>71</v>
      </c>
      <c r="G16" s="2" t="s">
        <v>72</v>
      </c>
      <c r="H16" s="2"/>
      <c r="I16" s="3" t="n">
        <v>1</v>
      </c>
      <c r="J16" s="2"/>
    </row>
    <row r="17" customFormat="false" ht="15" hidden="false" customHeight="false" outlineLevel="0" collapsed="false">
      <c r="A17" s="2" t="s">
        <v>21</v>
      </c>
      <c r="B17" s="2" t="s">
        <v>120</v>
      </c>
      <c r="C17" s="2" t="s">
        <v>121</v>
      </c>
      <c r="D17" s="2" t="s">
        <v>122</v>
      </c>
      <c r="E17" s="2" t="s">
        <v>63</v>
      </c>
      <c r="F17" s="2" t="s">
        <v>123</v>
      </c>
      <c r="G17" s="2" t="s">
        <v>124</v>
      </c>
      <c r="H17" s="2" t="s">
        <v>125</v>
      </c>
      <c r="I17" s="3" t="n">
        <v>0</v>
      </c>
      <c r="J17" s="2" t="s">
        <v>126</v>
      </c>
    </row>
    <row r="18" customFormat="false" ht="15" hidden="false" customHeight="false" outlineLevel="0" collapsed="false">
      <c r="A18" s="2" t="s">
        <v>21</v>
      </c>
      <c r="B18" s="2" t="s">
        <v>127</v>
      </c>
      <c r="C18" s="2" t="s">
        <v>128</v>
      </c>
      <c r="D18" s="2" t="s">
        <v>129</v>
      </c>
      <c r="E18" s="2" t="s">
        <v>63</v>
      </c>
      <c r="F18" s="2" t="s">
        <v>71</v>
      </c>
      <c r="G18" s="2" t="s">
        <v>72</v>
      </c>
      <c r="H18" s="2"/>
      <c r="I18" s="3" t="n">
        <v>0</v>
      </c>
      <c r="J18" s="2"/>
    </row>
    <row r="19" customFormat="false" ht="15" hidden="false" customHeight="false" outlineLevel="0" collapsed="false">
      <c r="A19" s="2" t="s">
        <v>21</v>
      </c>
      <c r="B19" s="2" t="s">
        <v>130</v>
      </c>
      <c r="C19" s="2" t="s">
        <v>131</v>
      </c>
      <c r="D19" s="2" t="s">
        <v>132</v>
      </c>
      <c r="E19" s="2" t="s">
        <v>63</v>
      </c>
      <c r="F19" s="2" t="s">
        <v>71</v>
      </c>
      <c r="G19" s="2" t="s">
        <v>72</v>
      </c>
      <c r="H19" s="2"/>
      <c r="I19" s="3" t="n">
        <v>0</v>
      </c>
      <c r="J19" s="2"/>
    </row>
    <row r="20" customFormat="false" ht="15" hidden="false" customHeight="false" outlineLevel="0" collapsed="false">
      <c r="A20" s="2" t="s">
        <v>21</v>
      </c>
      <c r="B20" s="2" t="s">
        <v>133</v>
      </c>
      <c r="C20" s="2" t="s">
        <v>134</v>
      </c>
      <c r="D20" s="2" t="s">
        <v>135</v>
      </c>
      <c r="E20" s="2" t="s">
        <v>136</v>
      </c>
      <c r="F20" s="2" t="s">
        <v>71</v>
      </c>
      <c r="G20" s="2" t="s">
        <v>72</v>
      </c>
      <c r="H20" s="2"/>
      <c r="I20" s="3" t="n">
        <v>1</v>
      </c>
      <c r="J20" s="2"/>
    </row>
    <row r="21" customFormat="false" ht="15" hidden="false" customHeight="false" outlineLevel="0" collapsed="false">
      <c r="A21" s="2" t="s">
        <v>21</v>
      </c>
      <c r="B21" s="2" t="s">
        <v>137</v>
      </c>
      <c r="C21" s="2" t="s">
        <v>138</v>
      </c>
      <c r="D21" s="2" t="s">
        <v>139</v>
      </c>
      <c r="E21" s="2" t="s">
        <v>63</v>
      </c>
      <c r="F21" s="2" t="s">
        <v>123</v>
      </c>
      <c r="G21" s="2" t="s">
        <v>140</v>
      </c>
      <c r="H21" s="2" t="s">
        <v>141</v>
      </c>
      <c r="I21" s="3" t="n">
        <v>0</v>
      </c>
      <c r="J21" s="2"/>
    </row>
    <row r="22" customFormat="false" ht="15" hidden="false" customHeight="false" outlineLevel="0" collapsed="false">
      <c r="A22" s="2" t="s">
        <v>21</v>
      </c>
      <c r="B22" s="2" t="s">
        <v>142</v>
      </c>
      <c r="C22" s="2" t="s">
        <v>143</v>
      </c>
      <c r="D22" s="2" t="s">
        <v>91</v>
      </c>
      <c r="E22" s="2" t="s">
        <v>63</v>
      </c>
      <c r="F22" s="2" t="s">
        <v>123</v>
      </c>
      <c r="G22" s="2" t="s">
        <v>140</v>
      </c>
      <c r="H22" s="2" t="s">
        <v>141</v>
      </c>
      <c r="I22" s="3" t="n">
        <v>0</v>
      </c>
      <c r="J22" s="2"/>
    </row>
    <row r="23" customFormat="false" ht="15" hidden="false" customHeight="false" outlineLevel="0" collapsed="false">
      <c r="A23" s="2" t="s">
        <v>21</v>
      </c>
      <c r="B23" s="2" t="s">
        <v>144</v>
      </c>
      <c r="C23" s="2" t="s">
        <v>145</v>
      </c>
      <c r="D23" s="2" t="s">
        <v>146</v>
      </c>
      <c r="E23" s="2" t="s">
        <v>63</v>
      </c>
      <c r="F23" s="2" t="s">
        <v>123</v>
      </c>
      <c r="G23" s="2" t="s">
        <v>87</v>
      </c>
      <c r="H23" s="2" t="s">
        <v>147</v>
      </c>
      <c r="I23" s="3" t="n">
        <v>0</v>
      </c>
      <c r="J23" s="2"/>
    </row>
    <row r="24" customFormat="false" ht="15" hidden="false" customHeight="false" outlineLevel="0" collapsed="false">
      <c r="A24" s="2" t="s">
        <v>21</v>
      </c>
      <c r="B24" s="2" t="s">
        <v>148</v>
      </c>
      <c r="C24" s="2" t="s">
        <v>149</v>
      </c>
      <c r="D24" s="2" t="s">
        <v>150</v>
      </c>
      <c r="E24" s="2" t="s">
        <v>63</v>
      </c>
      <c r="F24" s="2" t="s">
        <v>151</v>
      </c>
      <c r="G24" s="2" t="s">
        <v>152</v>
      </c>
      <c r="H24" s="2" t="s">
        <v>153</v>
      </c>
      <c r="I24" s="3" t="n">
        <v>0</v>
      </c>
      <c r="J24" s="2"/>
    </row>
    <row r="25" customFormat="false" ht="15" hidden="false" customHeight="false" outlineLevel="0" collapsed="false">
      <c r="A25" s="2" t="s">
        <v>21</v>
      </c>
      <c r="B25" s="2" t="s">
        <v>154</v>
      </c>
      <c r="C25" s="2" t="s">
        <v>155</v>
      </c>
      <c r="D25" s="2" t="s">
        <v>156</v>
      </c>
      <c r="E25" s="2" t="s">
        <v>63</v>
      </c>
      <c r="F25" s="2" t="s">
        <v>71</v>
      </c>
      <c r="G25" s="2" t="s">
        <v>72</v>
      </c>
      <c r="H25" s="2"/>
      <c r="I25" s="3" t="n">
        <v>0</v>
      </c>
      <c r="J25" s="2"/>
    </row>
    <row r="26" customFormat="false" ht="15" hidden="false" customHeight="false" outlineLevel="0" collapsed="false">
      <c r="A26" s="2" t="s">
        <v>21</v>
      </c>
      <c r="B26" s="2" t="s">
        <v>157</v>
      </c>
      <c r="C26" s="2" t="s">
        <v>158</v>
      </c>
      <c r="D26" s="2" t="s">
        <v>159</v>
      </c>
      <c r="E26" s="2" t="s">
        <v>63</v>
      </c>
      <c r="F26" s="2" t="s">
        <v>151</v>
      </c>
      <c r="G26" s="2" t="s">
        <v>87</v>
      </c>
      <c r="H26" s="2" t="s">
        <v>160</v>
      </c>
      <c r="I26" s="3" t="n">
        <v>0</v>
      </c>
      <c r="J26" s="2"/>
    </row>
    <row r="27" customFormat="false" ht="15" hidden="false" customHeight="false" outlineLevel="0" collapsed="false">
      <c r="A27" s="2" t="s">
        <v>21</v>
      </c>
      <c r="B27" s="2" t="s">
        <v>161</v>
      </c>
      <c r="C27" s="2" t="s">
        <v>162</v>
      </c>
      <c r="D27" s="2" t="s">
        <v>163</v>
      </c>
      <c r="E27" s="2" t="s">
        <v>63</v>
      </c>
      <c r="F27" s="2" t="s">
        <v>71</v>
      </c>
      <c r="G27" s="2" t="s">
        <v>164</v>
      </c>
      <c r="H27" s="2"/>
      <c r="I27" s="3" t="n">
        <v>0</v>
      </c>
      <c r="J27" s="2"/>
    </row>
    <row r="28" customFormat="false" ht="15" hidden="false" customHeight="false" outlineLevel="0" collapsed="false">
      <c r="A28" s="2" t="s">
        <v>21</v>
      </c>
      <c r="B28" s="2" t="s">
        <v>165</v>
      </c>
      <c r="C28" s="2" t="s">
        <v>166</v>
      </c>
      <c r="D28" s="2" t="s">
        <v>167</v>
      </c>
      <c r="E28" s="2" t="s">
        <v>63</v>
      </c>
      <c r="F28" s="2" t="s">
        <v>71</v>
      </c>
      <c r="G28" s="2" t="s">
        <v>72</v>
      </c>
      <c r="H28" s="2"/>
      <c r="I28" s="3" t="n">
        <v>0</v>
      </c>
      <c r="J28" s="2"/>
    </row>
    <row r="29" customFormat="false" ht="15" hidden="false" customHeight="false" outlineLevel="0" collapsed="false">
      <c r="A29" s="2" t="s">
        <v>21</v>
      </c>
      <c r="B29" s="2" t="s">
        <v>168</v>
      </c>
      <c r="C29" s="2" t="s">
        <v>128</v>
      </c>
      <c r="D29" s="2"/>
      <c r="E29" s="2" t="s">
        <v>100</v>
      </c>
      <c r="F29" s="2" t="s">
        <v>71</v>
      </c>
      <c r="G29" s="2" t="s">
        <v>72</v>
      </c>
      <c r="H29" s="2"/>
      <c r="I29" s="3" t="n">
        <v>0</v>
      </c>
      <c r="J29" s="2"/>
    </row>
    <row r="30" customFormat="false" ht="15" hidden="false" customHeight="false" outlineLevel="0" collapsed="false">
      <c r="A30" s="2" t="s">
        <v>21</v>
      </c>
      <c r="B30" s="2" t="s">
        <v>169</v>
      </c>
      <c r="C30" s="2" t="s">
        <v>170</v>
      </c>
      <c r="D30" s="2"/>
      <c r="E30" s="2" t="s">
        <v>100</v>
      </c>
      <c r="F30" s="2" t="s">
        <v>71</v>
      </c>
      <c r="G30" s="2" t="s">
        <v>164</v>
      </c>
      <c r="H30" s="2"/>
      <c r="I30" s="3" t="n">
        <v>0</v>
      </c>
      <c r="J30" s="2"/>
    </row>
    <row r="31" customFormat="false" ht="15" hidden="false" customHeight="false" outlineLevel="0" collapsed="false">
      <c r="A31" s="2" t="s">
        <v>21</v>
      </c>
      <c r="B31" s="2" t="s">
        <v>171</v>
      </c>
      <c r="C31" s="2" t="s">
        <v>172</v>
      </c>
      <c r="D31" s="2"/>
      <c r="E31" s="2" t="s">
        <v>100</v>
      </c>
      <c r="F31" s="2" t="s">
        <v>71</v>
      </c>
      <c r="G31" s="2" t="s">
        <v>164</v>
      </c>
      <c r="H31" s="2"/>
      <c r="I31" s="3" t="n">
        <v>0</v>
      </c>
      <c r="J31" s="2"/>
    </row>
    <row r="32" customFormat="false" ht="15" hidden="false" customHeight="false" outlineLevel="0" collapsed="false">
      <c r="A32" s="2" t="s">
        <v>26</v>
      </c>
      <c r="B32" s="2" t="s">
        <v>173</v>
      </c>
      <c r="C32" s="2" t="s">
        <v>174</v>
      </c>
      <c r="D32" s="2" t="s">
        <v>132</v>
      </c>
      <c r="E32" s="2" t="s">
        <v>63</v>
      </c>
      <c r="F32" s="2" t="s">
        <v>71</v>
      </c>
      <c r="G32" s="2" t="s">
        <v>72</v>
      </c>
      <c r="H32" s="2"/>
      <c r="I32" s="3" t="n">
        <v>0</v>
      </c>
      <c r="J32" s="2"/>
    </row>
    <row r="33" customFormat="false" ht="15" hidden="false" customHeight="false" outlineLevel="0" collapsed="false">
      <c r="A33" s="2" t="s">
        <v>26</v>
      </c>
      <c r="B33" s="2" t="s">
        <v>175</v>
      </c>
      <c r="C33" s="2" t="s">
        <v>176</v>
      </c>
      <c r="D33" s="2" t="s">
        <v>177</v>
      </c>
      <c r="E33" s="2" t="s">
        <v>63</v>
      </c>
      <c r="F33" s="2" t="s">
        <v>71</v>
      </c>
      <c r="G33" s="2" t="s">
        <v>72</v>
      </c>
      <c r="H33" s="2"/>
      <c r="I33" s="3" t="n">
        <v>0</v>
      </c>
      <c r="J33" s="2"/>
    </row>
    <row r="34" customFormat="false" ht="15" hidden="false" customHeight="false" outlineLevel="0" collapsed="false">
      <c r="A34" s="2" t="s">
        <v>26</v>
      </c>
      <c r="B34" s="2" t="s">
        <v>178</v>
      </c>
      <c r="C34" s="2" t="s">
        <v>179</v>
      </c>
      <c r="D34" s="2" t="s">
        <v>129</v>
      </c>
      <c r="E34" s="2" t="s">
        <v>63</v>
      </c>
      <c r="F34" s="2" t="s">
        <v>71</v>
      </c>
      <c r="G34" s="2" t="s">
        <v>164</v>
      </c>
      <c r="H34" s="2"/>
      <c r="I34" s="3" t="n">
        <v>1</v>
      </c>
      <c r="J34" s="2"/>
    </row>
    <row r="35" customFormat="false" ht="15" hidden="false" customHeight="false" outlineLevel="0" collapsed="false">
      <c r="A35" s="2" t="s">
        <v>26</v>
      </c>
      <c r="B35" s="2" t="s">
        <v>180</v>
      </c>
      <c r="C35" s="2" t="s">
        <v>181</v>
      </c>
      <c r="D35" s="2" t="s">
        <v>182</v>
      </c>
      <c r="E35" s="2" t="s">
        <v>63</v>
      </c>
      <c r="F35" s="2" t="s">
        <v>71</v>
      </c>
      <c r="G35" s="2" t="s">
        <v>72</v>
      </c>
      <c r="H35" s="2"/>
      <c r="I35" s="3" t="n">
        <v>0</v>
      </c>
      <c r="J35" s="2"/>
    </row>
    <row r="36" customFormat="false" ht="15" hidden="false" customHeight="false" outlineLevel="0" collapsed="false">
      <c r="A36" s="2" t="s">
        <v>26</v>
      </c>
      <c r="B36" s="2" t="s">
        <v>183</v>
      </c>
      <c r="C36" s="2" t="s">
        <v>184</v>
      </c>
      <c r="D36" s="2" t="s">
        <v>185</v>
      </c>
      <c r="E36" s="2" t="s">
        <v>63</v>
      </c>
      <c r="F36" s="2" t="s">
        <v>71</v>
      </c>
      <c r="G36" s="2" t="s">
        <v>72</v>
      </c>
      <c r="H36" s="2"/>
      <c r="I36" s="3" t="n">
        <v>0</v>
      </c>
      <c r="J36" s="2"/>
    </row>
    <row r="37" customFormat="false" ht="15" hidden="false" customHeight="false" outlineLevel="0" collapsed="false">
      <c r="A37" s="2" t="s">
        <v>26</v>
      </c>
      <c r="B37" s="2" t="s">
        <v>186</v>
      </c>
      <c r="C37" s="2" t="s">
        <v>187</v>
      </c>
      <c r="D37" s="2" t="s">
        <v>188</v>
      </c>
      <c r="E37" s="2" t="s">
        <v>63</v>
      </c>
      <c r="F37" s="2" t="s">
        <v>71</v>
      </c>
      <c r="G37" s="2" t="s">
        <v>72</v>
      </c>
      <c r="H37" s="2"/>
      <c r="I37" s="3" t="n">
        <v>0</v>
      </c>
      <c r="J37" s="2"/>
    </row>
    <row r="38" customFormat="false" ht="15" hidden="false" customHeight="false" outlineLevel="0" collapsed="false">
      <c r="A38" s="2" t="s">
        <v>26</v>
      </c>
      <c r="B38" s="2" t="s">
        <v>189</v>
      </c>
      <c r="C38" s="2" t="s">
        <v>190</v>
      </c>
      <c r="D38" s="2" t="s">
        <v>191</v>
      </c>
      <c r="E38" s="2" t="s">
        <v>63</v>
      </c>
      <c r="F38" s="2" t="s">
        <v>71</v>
      </c>
      <c r="G38" s="2" t="s">
        <v>72</v>
      </c>
      <c r="H38" s="2"/>
      <c r="I38" s="3" t="n">
        <v>0</v>
      </c>
      <c r="J38" s="2"/>
    </row>
    <row r="39" customFormat="false" ht="15" hidden="false" customHeight="false" outlineLevel="0" collapsed="false">
      <c r="A39" s="2" t="s">
        <v>26</v>
      </c>
      <c r="B39" s="2" t="s">
        <v>192</v>
      </c>
      <c r="C39" s="2" t="s">
        <v>193</v>
      </c>
      <c r="D39" s="2" t="s">
        <v>194</v>
      </c>
      <c r="E39" s="2" t="s">
        <v>63</v>
      </c>
      <c r="F39" s="2" t="s">
        <v>71</v>
      </c>
      <c r="G39" s="2" t="s">
        <v>195</v>
      </c>
      <c r="H39" s="2"/>
      <c r="I39" s="3" t="n">
        <v>1</v>
      </c>
      <c r="J39" s="2"/>
    </row>
    <row r="40" customFormat="false" ht="15" hidden="false" customHeight="false" outlineLevel="0" collapsed="false">
      <c r="A40" s="2" t="s">
        <v>26</v>
      </c>
      <c r="B40" s="2" t="s">
        <v>196</v>
      </c>
      <c r="C40" s="2" t="s">
        <v>197</v>
      </c>
      <c r="D40" s="2"/>
      <c r="E40" s="2" t="s">
        <v>100</v>
      </c>
      <c r="F40" s="2" t="s">
        <v>64</v>
      </c>
      <c r="G40" s="2" t="s">
        <v>72</v>
      </c>
      <c r="H40" s="2"/>
      <c r="I40" s="3" t="n">
        <v>0</v>
      </c>
      <c r="J40" s="2"/>
    </row>
    <row r="41" customFormat="false" ht="15" hidden="false" customHeight="false" outlineLevel="0" collapsed="false">
      <c r="A41" s="2" t="s">
        <v>26</v>
      </c>
      <c r="B41" s="2" t="s">
        <v>198</v>
      </c>
      <c r="C41" s="2" t="s">
        <v>199</v>
      </c>
      <c r="D41" s="2"/>
      <c r="E41" s="2" t="s">
        <v>100</v>
      </c>
      <c r="F41" s="2" t="s">
        <v>71</v>
      </c>
      <c r="G41" s="2" t="s">
        <v>72</v>
      </c>
      <c r="H41" s="2"/>
      <c r="I41" s="3" t="n">
        <v>0</v>
      </c>
      <c r="J41" s="2"/>
    </row>
    <row r="42" customFormat="false" ht="15" hidden="false" customHeight="false" outlineLevel="0" collapsed="false">
      <c r="A42" s="2" t="s">
        <v>26</v>
      </c>
      <c r="B42" s="2" t="s">
        <v>200</v>
      </c>
      <c r="C42" s="2" t="s">
        <v>201</v>
      </c>
      <c r="D42" s="2"/>
      <c r="E42" s="2" t="s">
        <v>100</v>
      </c>
      <c r="F42" s="2" t="s">
        <v>71</v>
      </c>
      <c r="G42" s="2" t="s">
        <v>72</v>
      </c>
      <c r="H42" s="2"/>
      <c r="I42" s="3" t="n">
        <v>0</v>
      </c>
      <c r="J42" s="2"/>
    </row>
    <row r="43" customFormat="false" ht="15" hidden="false" customHeight="false" outlineLevel="0" collapsed="false">
      <c r="A43" s="2" t="s">
        <v>30</v>
      </c>
      <c r="B43" s="2" t="s">
        <v>202</v>
      </c>
      <c r="C43" s="2" t="s">
        <v>203</v>
      </c>
      <c r="D43" s="2" t="s">
        <v>204</v>
      </c>
      <c r="E43" s="2" t="s">
        <v>63</v>
      </c>
      <c r="F43" s="2" t="s">
        <v>71</v>
      </c>
      <c r="G43" s="2" t="s">
        <v>72</v>
      </c>
      <c r="H43" s="2"/>
      <c r="I43" s="3" t="n">
        <v>0</v>
      </c>
      <c r="J43" s="2"/>
    </row>
    <row r="44" customFormat="false" ht="15" hidden="false" customHeight="false" outlineLevel="0" collapsed="false">
      <c r="A44" s="2" t="s">
        <v>30</v>
      </c>
      <c r="B44" s="2" t="s">
        <v>205</v>
      </c>
      <c r="C44" s="2" t="s">
        <v>206</v>
      </c>
      <c r="D44" s="2" t="s">
        <v>207</v>
      </c>
      <c r="E44" s="2" t="s">
        <v>63</v>
      </c>
      <c r="F44" s="2" t="s">
        <v>71</v>
      </c>
      <c r="G44" s="2" t="s">
        <v>72</v>
      </c>
      <c r="H44" s="2"/>
      <c r="I44" s="3" t="n">
        <v>1</v>
      </c>
      <c r="J44" s="2"/>
    </row>
    <row r="45" customFormat="false" ht="15" hidden="false" customHeight="false" outlineLevel="0" collapsed="false">
      <c r="A45" s="2" t="s">
        <v>30</v>
      </c>
      <c r="B45" s="2" t="s">
        <v>208</v>
      </c>
      <c r="C45" s="2" t="s">
        <v>209</v>
      </c>
      <c r="D45" s="2" t="s">
        <v>62</v>
      </c>
      <c r="E45" s="2" t="s">
        <v>63</v>
      </c>
      <c r="F45" s="2" t="s">
        <v>71</v>
      </c>
      <c r="G45" s="2" t="s">
        <v>72</v>
      </c>
      <c r="H45" s="2"/>
      <c r="I45" s="3" t="n">
        <v>0</v>
      </c>
      <c r="J45" s="2"/>
    </row>
    <row r="46" customFormat="false" ht="15" hidden="false" customHeight="false" outlineLevel="0" collapsed="false">
      <c r="A46" s="2" t="s">
        <v>30</v>
      </c>
      <c r="B46" s="2" t="s">
        <v>210</v>
      </c>
      <c r="C46" s="2" t="s">
        <v>211</v>
      </c>
      <c r="D46" s="2" t="s">
        <v>70</v>
      </c>
      <c r="E46" s="2" t="s">
        <v>63</v>
      </c>
      <c r="F46" s="2" t="s">
        <v>71</v>
      </c>
      <c r="G46" s="2" t="s">
        <v>72</v>
      </c>
      <c r="H46" s="2"/>
      <c r="I46" s="3" t="n">
        <v>0</v>
      </c>
      <c r="J46" s="2"/>
    </row>
    <row r="47" customFormat="false" ht="15" hidden="false" customHeight="false" outlineLevel="0" collapsed="false">
      <c r="A47" s="2" t="s">
        <v>30</v>
      </c>
      <c r="B47" s="2" t="s">
        <v>212</v>
      </c>
      <c r="C47" s="2" t="s">
        <v>213</v>
      </c>
      <c r="D47" s="2" t="s">
        <v>214</v>
      </c>
      <c r="E47" s="2" t="s">
        <v>63</v>
      </c>
      <c r="F47" s="2" t="s">
        <v>71</v>
      </c>
      <c r="G47" s="2"/>
      <c r="H47" s="2"/>
      <c r="I47" s="3" t="n">
        <v>0</v>
      </c>
      <c r="J47" s="2"/>
    </row>
    <row r="48" customFormat="false" ht="15" hidden="false" customHeight="false" outlineLevel="0" collapsed="false">
      <c r="A48" s="2" t="s">
        <v>30</v>
      </c>
      <c r="B48" s="2" t="s">
        <v>215</v>
      </c>
      <c r="C48" s="2" t="s">
        <v>216</v>
      </c>
      <c r="D48" s="2" t="s">
        <v>217</v>
      </c>
      <c r="E48" s="2" t="s">
        <v>136</v>
      </c>
      <c r="F48" s="2" t="s">
        <v>64</v>
      </c>
      <c r="G48" s="2"/>
      <c r="H48" s="2"/>
      <c r="I48" s="3" t="n">
        <v>1</v>
      </c>
      <c r="J48" s="2"/>
    </row>
    <row r="49" customFormat="false" ht="15" hidden="false" customHeight="false" outlineLevel="0" collapsed="false">
      <c r="A49" s="2" t="s">
        <v>30</v>
      </c>
      <c r="B49" s="2" t="s">
        <v>218</v>
      </c>
      <c r="C49" s="2" t="s">
        <v>102</v>
      </c>
      <c r="D49" s="2" t="s">
        <v>103</v>
      </c>
      <c r="E49" s="2" t="s">
        <v>63</v>
      </c>
      <c r="F49" s="2" t="s">
        <v>71</v>
      </c>
      <c r="G49" s="2"/>
      <c r="H49" s="2"/>
      <c r="I49" s="3" t="n">
        <v>0</v>
      </c>
      <c r="J49" s="2"/>
    </row>
    <row r="50" customFormat="false" ht="15" hidden="false" customHeight="false" outlineLevel="0" collapsed="false">
      <c r="A50" s="2" t="s">
        <v>30</v>
      </c>
      <c r="B50" s="2" t="s">
        <v>219</v>
      </c>
      <c r="C50" s="2" t="s">
        <v>220</v>
      </c>
      <c r="D50" s="2" t="s">
        <v>221</v>
      </c>
      <c r="E50" s="2" t="s">
        <v>63</v>
      </c>
      <c r="F50" s="2" t="s">
        <v>71</v>
      </c>
      <c r="G50" s="2"/>
      <c r="H50" s="2"/>
      <c r="I50" s="3" t="n">
        <v>0</v>
      </c>
      <c r="J5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28"/>
    <col collapsed="false" customWidth="true" hidden="false" outlineLevel="0" max="4" min="4" style="0" width="26"/>
  </cols>
  <sheetData>
    <row r="1" customFormat="false" ht="15" hidden="false" customHeight="false" outlineLevel="0" collapsed="false">
      <c r="A1" s="1" t="s">
        <v>222</v>
      </c>
      <c r="B1" s="1" t="s">
        <v>223</v>
      </c>
      <c r="C1" s="1" t="s">
        <v>224</v>
      </c>
      <c r="D1" s="1" t="s">
        <v>225</v>
      </c>
    </row>
    <row r="2" customFormat="false" ht="15" hidden="false" customHeight="false" outlineLevel="0" collapsed="false">
      <c r="A2" s="2" t="s">
        <v>226</v>
      </c>
      <c r="B2" s="3" t="n">
        <v>41260</v>
      </c>
      <c r="C2" s="2" t="s">
        <v>227</v>
      </c>
      <c r="D2" s="2" t="s">
        <v>228</v>
      </c>
    </row>
    <row r="3" customFormat="false" ht="15" hidden="false" customHeight="false" outlineLevel="0" collapsed="false">
      <c r="A3" s="2" t="s">
        <v>229</v>
      </c>
      <c r="B3" s="3" t="n">
        <v>26940</v>
      </c>
      <c r="C3" s="4" t="n">
        <f aca="false">B3/B2</f>
        <v>0.652932622394571</v>
      </c>
      <c r="D3" s="2" t="s">
        <v>230</v>
      </c>
    </row>
    <row r="4" customFormat="false" ht="15" hidden="false" customHeight="false" outlineLevel="0" collapsed="false">
      <c r="A4" s="2" t="s">
        <v>231</v>
      </c>
      <c r="B4" s="3" t="n">
        <v>21480</v>
      </c>
      <c r="C4" s="4" t="n">
        <f aca="false">B4/B3</f>
        <v>0.797327394209354</v>
      </c>
      <c r="D4" s="2" t="s">
        <v>232</v>
      </c>
    </row>
    <row r="5" customFormat="false" ht="15" hidden="false" customHeight="false" outlineLevel="0" collapsed="false">
      <c r="A5" s="2" t="s">
        <v>233</v>
      </c>
      <c r="B5" s="3" t="n">
        <v>18420</v>
      </c>
      <c r="C5" s="4" t="n">
        <f aca="false">B5/B4</f>
        <v>0.857541899441341</v>
      </c>
      <c r="D5" s="2" t="s">
        <v>234</v>
      </c>
    </row>
    <row r="6" customFormat="false" ht="15" hidden="false" customHeight="false" outlineLevel="0" collapsed="false">
      <c r="A6" s="2" t="s">
        <v>235</v>
      </c>
      <c r="B6" s="3" t="n">
        <v>11752</v>
      </c>
      <c r="C6" s="4" t="n">
        <f aca="false">B6/B5</f>
        <v>0.63800217155266</v>
      </c>
      <c r="D6" s="2" t="s">
        <v>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7"/>
  </cols>
  <sheetData>
    <row r="1" customFormat="false" ht="26.85" hidden="false" customHeight="false" outlineLevel="0" collapsed="false">
      <c r="A1" s="1" t="s">
        <v>237</v>
      </c>
      <c r="B1" s="1" t="s">
        <v>238</v>
      </c>
    </row>
    <row r="2" customFormat="false" ht="15" hidden="false" customHeight="false" outlineLevel="0" collapsed="false">
      <c r="A2" s="2" t="s">
        <v>239</v>
      </c>
      <c r="B2" s="3" t="n">
        <v>96</v>
      </c>
    </row>
    <row r="3" customFormat="false" ht="15" hidden="false" customHeight="false" outlineLevel="0" collapsed="false">
      <c r="A3" s="2" t="s">
        <v>240</v>
      </c>
      <c r="B3" s="3" t="n">
        <v>1014</v>
      </c>
    </row>
    <row r="4" customFormat="false" ht="15" hidden="false" customHeight="false" outlineLevel="0" collapsed="false">
      <c r="A4" s="2" t="s">
        <v>241</v>
      </c>
      <c r="B4" s="3" t="n">
        <v>431</v>
      </c>
    </row>
    <row r="5" customFormat="false" ht="15" hidden="false" customHeight="false" outlineLevel="0" collapsed="false">
      <c r="A5" s="2" t="s">
        <v>242</v>
      </c>
      <c r="B5" s="3" t="n">
        <v>505</v>
      </c>
    </row>
    <row r="6" customFormat="false" ht="15" hidden="false" customHeight="false" outlineLevel="0" collapsed="false">
      <c r="A6" s="2" t="s">
        <v>243</v>
      </c>
      <c r="B6" s="3" t="n">
        <v>280</v>
      </c>
    </row>
    <row r="7" customFormat="false" ht="15" hidden="false" customHeight="false" outlineLevel="0" collapsed="false">
      <c r="A7" s="2" t="s">
        <v>244</v>
      </c>
      <c r="B7" s="3" t="n">
        <v>1560</v>
      </c>
    </row>
    <row r="8" customFormat="false" ht="15" hidden="false" customHeight="false" outlineLevel="0" collapsed="false">
      <c r="A8" s="2" t="s">
        <v>245</v>
      </c>
      <c r="B8" s="3" t="n">
        <v>1173</v>
      </c>
    </row>
    <row r="9" customFormat="false" ht="15" hidden="false" customHeight="false" outlineLevel="0" collapsed="false">
      <c r="A9" s="2" t="s">
        <v>246</v>
      </c>
      <c r="B9" s="3" t="n">
        <v>1622</v>
      </c>
    </row>
    <row r="10" customFormat="false" ht="15" hidden="false" customHeight="false" outlineLevel="0" collapsed="false">
      <c r="A10" s="2" t="s">
        <v>247</v>
      </c>
      <c r="B10" s="3" t="n">
        <v>896</v>
      </c>
    </row>
    <row r="11" customFormat="false" ht="15" hidden="false" customHeight="false" outlineLevel="0" collapsed="false">
      <c r="A11" s="2" t="s">
        <v>248</v>
      </c>
      <c r="B11" s="3" t="n">
        <v>1600</v>
      </c>
    </row>
    <row r="12" customFormat="false" ht="15" hidden="false" customHeight="false" outlineLevel="0" collapsed="false">
      <c r="A12" s="2" t="s">
        <v>249</v>
      </c>
      <c r="B12" s="3" t="n">
        <v>3785</v>
      </c>
    </row>
    <row r="13" customFormat="false" ht="15" hidden="false" customHeight="false" outlineLevel="0" collapsed="false">
      <c r="A13" s="2" t="s">
        <v>250</v>
      </c>
      <c r="B13" s="3" t="n">
        <v>1776</v>
      </c>
    </row>
    <row r="14" customFormat="false" ht="15" hidden="false" customHeight="false" outlineLevel="0" collapsed="false">
      <c r="A14" s="2" t="s">
        <v>251</v>
      </c>
      <c r="B14" s="2" t="s">
        <v>199</v>
      </c>
    </row>
    <row r="15" customFormat="false" ht="15" hidden="false" customHeight="false" outlineLevel="0" collapsed="false">
      <c r="A15" s="2" t="s">
        <v>252</v>
      </c>
      <c r="B15" s="3" t="n">
        <v>680</v>
      </c>
    </row>
    <row r="16" customFormat="false" ht="15" hidden="false" customHeight="false" outlineLevel="0" collapsed="false">
      <c r="A16" s="2" t="s">
        <v>253</v>
      </c>
      <c r="B16" s="3" t="n">
        <v>683</v>
      </c>
    </row>
    <row r="17" customFormat="false" ht="15" hidden="false" customHeight="false" outlineLevel="0" collapsed="false">
      <c r="A17" s="2" t="s">
        <v>254</v>
      </c>
      <c r="B17" s="3" t="n">
        <v>2320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60"/>
    <col collapsed="false" customWidth="true" hidden="false" outlineLevel="0" max="3" min="3" style="0" width="20"/>
    <col collapsed="false" customWidth="true" hidden="false" outlineLevel="0" max="5" min="4" style="0" width="16"/>
  </cols>
  <sheetData>
    <row r="1" customFormat="false" ht="15" hidden="false" customHeight="false" outlineLevel="0" collapsed="false">
      <c r="A1" s="1" t="s">
        <v>255</v>
      </c>
      <c r="B1" s="1" t="s">
        <v>3</v>
      </c>
      <c r="C1" s="1" t="s">
        <v>256</v>
      </c>
      <c r="D1" s="1" t="s">
        <v>257</v>
      </c>
      <c r="E1" s="1" t="s">
        <v>258</v>
      </c>
    </row>
    <row r="2" customFormat="false" ht="15" hidden="false" customHeight="false" outlineLevel="0" collapsed="false">
      <c r="A2" s="2" t="s">
        <v>259</v>
      </c>
      <c r="B2" s="2" t="s">
        <v>260</v>
      </c>
      <c r="C2" s="2" t="s">
        <v>261</v>
      </c>
      <c r="D2" s="2" t="s">
        <v>262</v>
      </c>
      <c r="E2" s="2" t="s">
        <v>263</v>
      </c>
    </row>
    <row r="3" customFormat="false" ht="15" hidden="false" customHeight="false" outlineLevel="0" collapsed="false">
      <c r="A3" s="2" t="s">
        <v>264</v>
      </c>
      <c r="B3" s="2" t="s">
        <v>265</v>
      </c>
      <c r="C3" s="2" t="s">
        <v>261</v>
      </c>
      <c r="D3" s="2" t="s">
        <v>266</v>
      </c>
      <c r="E3" s="2" t="s">
        <v>263</v>
      </c>
    </row>
    <row r="4" customFormat="false" ht="15" hidden="false" customHeight="false" outlineLevel="0" collapsed="false">
      <c r="A4" s="2" t="s">
        <v>267</v>
      </c>
      <c r="B4" s="2" t="s">
        <v>268</v>
      </c>
      <c r="C4" s="2" t="s">
        <v>261</v>
      </c>
      <c r="D4" s="2"/>
      <c r="E4" s="2"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6"/>
  </cols>
  <sheetData>
    <row r="1" customFormat="false" ht="15" hidden="false" customHeight="false" outlineLevel="0" collapsed="false">
      <c r="A1" s="1" t="s">
        <v>270</v>
      </c>
      <c r="B1" s="1" t="s">
        <v>271</v>
      </c>
      <c r="C1" s="1" t="s">
        <v>223</v>
      </c>
    </row>
    <row r="2" customFormat="false" ht="15" hidden="false" customHeight="false" outlineLevel="0" collapsed="false">
      <c r="A2" s="2" t="s">
        <v>272</v>
      </c>
      <c r="B2" s="3" t="n">
        <v>49.7</v>
      </c>
      <c r="C2" s="2" t="s">
        <v>273</v>
      </c>
    </row>
    <row r="3" customFormat="false" ht="15" hidden="false" customHeight="false" outlineLevel="0" collapsed="false">
      <c r="A3" s="2" t="s">
        <v>274</v>
      </c>
      <c r="B3" s="3" t="n">
        <v>14.3</v>
      </c>
      <c r="C3" s="2" t="s">
        <v>275</v>
      </c>
    </row>
    <row r="4" customFormat="false" ht="15" hidden="false" customHeight="false" outlineLevel="0" collapsed="false">
      <c r="A4" s="2" t="s">
        <v>276</v>
      </c>
      <c r="B4" s="3" t="n">
        <v>51.7</v>
      </c>
      <c r="C4" s="2" t="s">
        <v>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18"/>
  </cols>
  <sheetData>
    <row r="1" customFormat="false" ht="26.85" hidden="false" customHeight="false" outlineLevel="0" collapsed="false">
      <c r="A1" s="1" t="s">
        <v>222</v>
      </c>
      <c r="B1" s="1" t="s">
        <v>223</v>
      </c>
      <c r="C1" s="1" t="s">
        <v>278</v>
      </c>
    </row>
    <row r="2" customFormat="false" ht="15" hidden="false" customHeight="false" outlineLevel="0" collapsed="false">
      <c r="A2" s="2" t="s">
        <v>279</v>
      </c>
      <c r="B2" s="3" t="n">
        <v>11368</v>
      </c>
      <c r="C2" s="2"/>
    </row>
    <row r="3" customFormat="false" ht="15" hidden="false" customHeight="false" outlineLevel="0" collapsed="false">
      <c r="A3" s="2" t="s">
        <v>280</v>
      </c>
      <c r="B3" s="3" t="n">
        <v>3002</v>
      </c>
      <c r="C3" s="2" t="s">
        <v>281</v>
      </c>
    </row>
    <row r="4" customFormat="false" ht="15" hidden="false" customHeight="false" outlineLevel="0" collapsed="false">
      <c r="A4" s="2" t="s">
        <v>282</v>
      </c>
      <c r="B4" s="3" t="n">
        <v>903</v>
      </c>
      <c r="C4" s="2" t="s">
        <v>283</v>
      </c>
    </row>
    <row r="5" customFormat="false" ht="15" hidden="false" customHeight="false" outlineLevel="0" collapsed="false">
      <c r="A5" s="2" t="s">
        <v>284</v>
      </c>
      <c r="B5" s="3" t="n">
        <v>332</v>
      </c>
      <c r="C5" s="2" t="s">
        <v>285</v>
      </c>
    </row>
    <row r="6" customFormat="false" ht="15" hidden="false" customHeight="false" outlineLevel="0" collapsed="false">
      <c r="A6" s="2" t="s">
        <v>286</v>
      </c>
      <c r="B6" s="3" t="n">
        <v>50</v>
      </c>
      <c r="C6" s="2"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21"/>
    <col collapsed="false" customWidth="true" hidden="false" outlineLevel="0" max="4" min="4" style="0" width="16"/>
  </cols>
  <sheetData>
    <row r="1" customFormat="false" ht="26.85" hidden="false" customHeight="false" outlineLevel="0" collapsed="false">
      <c r="A1" s="1" t="s">
        <v>288</v>
      </c>
      <c r="B1" s="1" t="s">
        <v>289</v>
      </c>
      <c r="C1" s="1" t="s">
        <v>290</v>
      </c>
      <c r="D1" s="1" t="s">
        <v>291</v>
      </c>
    </row>
    <row r="2" customFormat="false" ht="15" hidden="false" customHeight="false" outlineLevel="0" collapsed="false">
      <c r="A2" s="2" t="s">
        <v>292</v>
      </c>
      <c r="B2" s="2" t="s">
        <v>293</v>
      </c>
      <c r="C2" s="2" t="s">
        <v>294</v>
      </c>
      <c r="D2" s="2" t="s">
        <v>295</v>
      </c>
    </row>
    <row r="3" customFormat="false" ht="15" hidden="false" customHeight="false" outlineLevel="0" collapsed="false">
      <c r="A3" s="2" t="s">
        <v>296</v>
      </c>
      <c r="B3" s="2" t="s">
        <v>297</v>
      </c>
      <c r="C3" s="2" t="s">
        <v>294</v>
      </c>
      <c r="D3" s="2" t="s">
        <v>298</v>
      </c>
    </row>
    <row r="4" customFormat="false" ht="15" hidden="false" customHeight="false" outlineLevel="0" collapsed="false">
      <c r="A4" s="2" t="s">
        <v>299</v>
      </c>
      <c r="B4" s="2" t="s">
        <v>300</v>
      </c>
      <c r="C4" s="2" t="s">
        <v>301</v>
      </c>
      <c r="D4" s="2" t="s">
        <v>302</v>
      </c>
    </row>
    <row r="5" customFormat="false" ht="15" hidden="false" customHeight="false" outlineLevel="0" collapsed="false">
      <c r="A5" s="2" t="s">
        <v>303</v>
      </c>
      <c r="B5" s="2" t="s">
        <v>304</v>
      </c>
      <c r="C5" s="2" t="s">
        <v>305</v>
      </c>
      <c r="D5" s="2" t="s">
        <v>306</v>
      </c>
    </row>
    <row r="6" customFormat="false" ht="15" hidden="false" customHeight="false" outlineLevel="0" collapsed="false">
      <c r="A6" s="2" t="s">
        <v>307</v>
      </c>
      <c r="B6" s="2" t="s">
        <v>308</v>
      </c>
      <c r="C6" s="2" t="s">
        <v>309</v>
      </c>
      <c r="D6" s="2" t="s">
        <v>310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5"/>
    <col collapsed="false" customWidth="true" hidden="false" outlineLevel="0" max="2" min="2" style="0" width="16"/>
    <col collapsed="false" customWidth="true" hidden="false" outlineLevel="0" max="3" min="3" style="0" width="19"/>
    <col collapsed="false" customWidth="true" hidden="false" outlineLevel="0" max="4" min="4" style="0" width="16"/>
  </cols>
  <sheetData>
    <row r="1" customFormat="false" ht="15" hidden="false" customHeight="false" outlineLevel="0" collapsed="false">
      <c r="A1" s="1" t="s">
        <v>311</v>
      </c>
      <c r="B1" s="1" t="s">
        <v>312</v>
      </c>
      <c r="C1" s="1" t="s">
        <v>313</v>
      </c>
      <c r="D1" s="1" t="s">
        <v>314</v>
      </c>
    </row>
    <row r="2" customFormat="false" ht="15" hidden="false" customHeight="false" outlineLevel="0" collapsed="false">
      <c r="A2" s="2" t="s">
        <v>315</v>
      </c>
      <c r="B2" s="3" t="n">
        <v>0.7</v>
      </c>
      <c r="C2" s="3" t="n">
        <v>66</v>
      </c>
      <c r="D2" s="3" t="n">
        <v>1</v>
      </c>
    </row>
    <row r="3" customFormat="false" ht="15" hidden="false" customHeight="false" outlineLevel="0" collapsed="false">
      <c r="A3" s="2" t="s">
        <v>316</v>
      </c>
      <c r="B3" s="3" t="n">
        <v>1</v>
      </c>
      <c r="C3" s="3" t="n">
        <v>69</v>
      </c>
      <c r="D3" s="3" t="n">
        <v>1</v>
      </c>
    </row>
    <row r="4" customFormat="false" ht="15" hidden="false" customHeight="false" outlineLevel="0" collapsed="false">
      <c r="A4" s="2" t="s">
        <v>317</v>
      </c>
      <c r="B4" s="3" t="n">
        <v>15</v>
      </c>
      <c r="C4" s="3" t="n">
        <v>68</v>
      </c>
      <c r="D4" s="3" t="n">
        <v>22</v>
      </c>
    </row>
    <row r="5" customFormat="false" ht="15" hidden="false" customHeight="false" outlineLevel="0" collapsed="false">
      <c r="A5" s="2" t="s">
        <v>318</v>
      </c>
      <c r="B5" s="3" t="n">
        <v>1</v>
      </c>
      <c r="C5" s="3" t="n">
        <v>70</v>
      </c>
      <c r="D5" s="3"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3" min="3" style="0" width="34"/>
  </cols>
  <sheetData>
    <row r="1" customFormat="false" ht="15" hidden="false" customHeight="false" outlineLevel="0" collapsed="false">
      <c r="A1" s="1" t="s">
        <v>319</v>
      </c>
      <c r="B1" s="1" t="s">
        <v>52</v>
      </c>
      <c r="C1" s="1" t="s">
        <v>320</v>
      </c>
    </row>
    <row r="2" customFormat="false" ht="15" hidden="false" customHeight="false" outlineLevel="0" collapsed="false">
      <c r="A2" s="2" t="s">
        <v>321</v>
      </c>
      <c r="B2" s="2" t="s">
        <v>322</v>
      </c>
      <c r="C2" s="2" t="s">
        <v>323</v>
      </c>
    </row>
    <row r="3" customFormat="false" ht="15" hidden="false" customHeight="false" outlineLevel="0" collapsed="false">
      <c r="A3" s="2" t="s">
        <v>324</v>
      </c>
      <c r="B3" s="2" t="s">
        <v>325</v>
      </c>
      <c r="C3" s="2" t="s">
        <v>326</v>
      </c>
    </row>
    <row r="4" customFormat="false" ht="15" hidden="false" customHeight="false" outlineLevel="0" collapsed="false">
      <c r="A4" s="2" t="s">
        <v>327</v>
      </c>
      <c r="B4" s="2" t="s">
        <v>328</v>
      </c>
      <c r="C4" s="2" t="s">
        <v>329</v>
      </c>
    </row>
    <row r="5" customFormat="false" ht="15" hidden="false" customHeight="false" outlineLevel="0" collapsed="false">
      <c r="A5" s="2" t="s">
        <v>330</v>
      </c>
      <c r="B5" s="2" t="s">
        <v>331</v>
      </c>
      <c r="C5" s="2" t="s">
        <v>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s>
  <sheetData>
    <row r="1" customFormat="false" ht="15" hidden="false" customHeight="false" outlineLevel="0" collapsed="false">
      <c r="A1" s="1" t="s">
        <v>333</v>
      </c>
      <c r="B1" s="1" t="s">
        <v>334</v>
      </c>
      <c r="C1" s="1" t="s">
        <v>335</v>
      </c>
    </row>
    <row r="2" customFormat="false" ht="15" hidden="false" customHeight="false" outlineLevel="0" collapsed="false">
      <c r="A2" s="2" t="s">
        <v>336</v>
      </c>
      <c r="B2" s="3" t="n">
        <v>2</v>
      </c>
      <c r="C2" s="3" t="n">
        <v>1</v>
      </c>
    </row>
    <row r="3" customFormat="false" ht="15" hidden="false" customHeight="false" outlineLevel="0" collapsed="false">
      <c r="A3" s="2" t="s">
        <v>337</v>
      </c>
      <c r="B3" s="3" t="n">
        <v>1</v>
      </c>
      <c r="C3" s="3" t="n">
        <v>0</v>
      </c>
    </row>
    <row r="4" customFormat="false" ht="15" hidden="false" customHeight="false" outlineLevel="0" collapsed="false">
      <c r="A4" s="2" t="s">
        <v>338</v>
      </c>
      <c r="B4" s="3" t="n">
        <v>46</v>
      </c>
      <c r="C4" s="3" t="n">
        <v>14</v>
      </c>
    </row>
    <row r="5" customFormat="false" ht="15" hidden="false" customHeight="false" outlineLevel="0" collapsed="false">
      <c r="A5" s="2" t="s">
        <v>339</v>
      </c>
      <c r="B5" s="3" t="n">
        <v>38</v>
      </c>
      <c r="C5" s="3" t="n">
        <v>9</v>
      </c>
    </row>
    <row r="6" customFormat="false" ht="15" hidden="false" customHeight="false" outlineLevel="0" collapsed="false">
      <c r="A6" s="2" t="s">
        <v>340</v>
      </c>
      <c r="B6" s="3" t="n">
        <v>46</v>
      </c>
      <c r="C6" s="3" t="n">
        <v>0</v>
      </c>
    </row>
    <row r="7" customFormat="false" ht="15" hidden="false" customHeight="false" outlineLevel="0" collapsed="false">
      <c r="A7" s="2" t="s">
        <v>341</v>
      </c>
      <c r="B7" s="3" t="n">
        <v>4</v>
      </c>
      <c r="C7" s="3"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9"/>
    <col collapsed="false" customWidth="true" hidden="false" outlineLevel="0" max="2" min="2" style="0" width="16"/>
    <col collapsed="false" customWidth="true" hidden="false" outlineLevel="0" max="3" min="3" style="0" width="57"/>
  </cols>
  <sheetData>
    <row r="1" customFormat="false" ht="15" hidden="false" customHeight="false" outlineLevel="0" collapsed="false">
      <c r="A1" s="1" t="s">
        <v>342</v>
      </c>
      <c r="B1" s="1" t="s">
        <v>343</v>
      </c>
      <c r="C1" s="1" t="s">
        <v>344</v>
      </c>
    </row>
    <row r="2" customFormat="false" ht="15" hidden="false" customHeight="false" outlineLevel="0" collapsed="false">
      <c r="A2" s="2" t="s">
        <v>345</v>
      </c>
      <c r="B2" s="3" t="n">
        <v>81</v>
      </c>
      <c r="C2" s="2" t="s">
        <v>346</v>
      </c>
    </row>
    <row r="3" customFormat="false" ht="15" hidden="false" customHeight="false" outlineLevel="0" collapsed="false">
      <c r="A3" s="2" t="s">
        <v>347</v>
      </c>
      <c r="B3" s="3" t="n">
        <v>68</v>
      </c>
      <c r="C3" s="2" t="s">
        <v>348</v>
      </c>
    </row>
    <row r="4" customFormat="false" ht="15" hidden="false" customHeight="false" outlineLevel="0" collapsed="false">
      <c r="A4" s="2" t="s">
        <v>349</v>
      </c>
      <c r="B4" s="3" t="n">
        <v>64</v>
      </c>
      <c r="C4" s="2" t="s">
        <v>350</v>
      </c>
    </row>
    <row r="5" customFormat="false" ht="15" hidden="false" customHeight="false" outlineLevel="0" collapsed="false">
      <c r="A5" s="2" t="s">
        <v>351</v>
      </c>
      <c r="B5" s="3" t="n">
        <v>44</v>
      </c>
      <c r="C5" s="2" t="s">
        <v>352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7"/>
    <col collapsed="false" customWidth="true" hidden="false" outlineLevel="0" max="3" min="2" style="0" width="16"/>
  </cols>
  <sheetData>
    <row r="1" customFormat="false" ht="15" hidden="false" customHeight="false" outlineLevel="0" collapsed="false">
      <c r="A1" s="1" t="s">
        <v>319</v>
      </c>
      <c r="B1" s="1" t="s">
        <v>52</v>
      </c>
      <c r="C1" s="1" t="s">
        <v>353</v>
      </c>
    </row>
    <row r="2" customFormat="false" ht="15" hidden="false" customHeight="false" outlineLevel="0" collapsed="false">
      <c r="A2" s="2" t="s">
        <v>354</v>
      </c>
      <c r="B2" s="2" t="s">
        <v>355</v>
      </c>
      <c r="C2" s="2" t="s">
        <v>356</v>
      </c>
    </row>
    <row r="3" customFormat="false" ht="15" hidden="false" customHeight="false" outlineLevel="0" collapsed="false">
      <c r="A3" s="2" t="s">
        <v>357</v>
      </c>
      <c r="B3" s="2" t="s">
        <v>358</v>
      </c>
      <c r="C3" s="2" t="s">
        <v>359</v>
      </c>
    </row>
    <row r="4" customFormat="false" ht="15" hidden="false" customHeight="false" outlineLevel="0" collapsed="false">
      <c r="A4" s="2" t="s">
        <v>360</v>
      </c>
      <c r="B4" s="2" t="s">
        <v>361</v>
      </c>
      <c r="C4" s="2" t="s">
        <v>362</v>
      </c>
    </row>
    <row r="5" customFormat="false" ht="15" hidden="false" customHeight="false" outlineLevel="0" collapsed="false">
      <c r="A5" s="2" t="s">
        <v>363</v>
      </c>
      <c r="B5" s="2" t="s">
        <v>364</v>
      </c>
      <c r="C5" s="2" t="s">
        <v>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366</v>
      </c>
    </row>
    <row r="2" customFormat="false" ht="15" hidden="false" customHeight="false" outlineLevel="0" collapsed="false">
      <c r="A2" s="0" t="s">
        <v>367</v>
      </c>
    </row>
    <row r="3" customFormat="false" ht="15" hidden="false" customHeight="false" outlineLevel="0" collapsed="false">
      <c r="A3" s="0" t="s">
        <v>368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2026-09-30T19:57:34Z</dcterms:created>
  <dc:creator>openpyxl</dc:creator>
  <dc:description/>
  <dc:language>en-US</dc:language>
  <cp:lastModifiedBy/>
  <dcterms:modified xsi:type="dcterms:W3CDTF">2026-09-30T19:57:34Z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